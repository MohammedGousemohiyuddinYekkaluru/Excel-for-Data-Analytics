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56b23f02075ab8/Documents/Excel LUKE/2_Formulas_Functions/"/>
    </mc:Choice>
  </mc:AlternateContent>
  <xr:revisionPtr revIDLastSave="25" documentId="8_{7AC54B36-9D9E-4574-9B35-E540224EAB9F}" xr6:coauthVersionLast="47" xr6:coauthVersionMax="47" xr10:uidLastSave="{7F75A0C9-06D2-4DB7-AD37-7CB71AB24415}"/>
  <bookViews>
    <workbookView xWindow="-108" yWindow="-108" windowWidth="23256" windowHeight="13176" xr2:uid="{6B78DF1B-62F5-4BE0-BA81-9C8917EAF48C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2" l="1"/>
  <c r="C17" i="2"/>
  <c r="D16" i="2"/>
  <c r="C16" i="2"/>
  <c r="D15" i="2"/>
  <c r="E15" i="2"/>
  <c r="C15" i="2"/>
  <c r="P4" i="2"/>
  <c r="P5" i="2"/>
  <c r="P6" i="2"/>
  <c r="P7" i="2"/>
  <c r="P8" i="2"/>
  <c r="P9" i="2"/>
  <c r="P10" i="2"/>
  <c r="P11" i="2"/>
  <c r="P12" i="2"/>
  <c r="P3" i="2"/>
  <c r="D14" i="2"/>
  <c r="E14" i="2"/>
  <c r="C14" i="2"/>
  <c r="D13" i="2"/>
  <c r="E13" i="2"/>
  <c r="C13" i="2"/>
  <c r="L12" i="2"/>
  <c r="K12" i="2"/>
  <c r="H12" i="2"/>
  <c r="I12" i="2" s="1"/>
  <c r="G12" i="2"/>
  <c r="M12" i="2" s="1"/>
  <c r="F12" i="2"/>
  <c r="L11" i="2"/>
  <c r="K11" i="2"/>
  <c r="H11" i="2"/>
  <c r="I11" i="2" s="1"/>
  <c r="G11" i="2"/>
  <c r="M11" i="2" s="1"/>
  <c r="F11" i="2"/>
  <c r="L10" i="2"/>
  <c r="O10" i="2" s="1"/>
  <c r="K10" i="2"/>
  <c r="I10" i="2"/>
  <c r="J10" i="2" s="1"/>
  <c r="H10" i="2"/>
  <c r="G10" i="2"/>
  <c r="M10" i="2" s="1"/>
  <c r="F10" i="2"/>
  <c r="L9" i="2"/>
  <c r="K9" i="2"/>
  <c r="J9" i="2"/>
  <c r="I9" i="2"/>
  <c r="H9" i="2"/>
  <c r="G9" i="2"/>
  <c r="M9" i="2" s="1"/>
  <c r="O9" i="2" s="1"/>
  <c r="F9" i="2"/>
  <c r="L8" i="2"/>
  <c r="K8" i="2"/>
  <c r="I8" i="2"/>
  <c r="H8" i="2"/>
  <c r="G8" i="2"/>
  <c r="J8" i="2" s="1"/>
  <c r="F8" i="2"/>
  <c r="L7" i="2"/>
  <c r="K7" i="2"/>
  <c r="I7" i="2"/>
  <c r="H7" i="2"/>
  <c r="G7" i="2"/>
  <c r="M7" i="2" s="1"/>
  <c r="F7" i="2"/>
  <c r="L6" i="2"/>
  <c r="K6" i="2"/>
  <c r="I6" i="2"/>
  <c r="H6" i="2"/>
  <c r="G6" i="2"/>
  <c r="J6" i="2" s="1"/>
  <c r="F6" i="2"/>
  <c r="L5" i="2"/>
  <c r="K5" i="2"/>
  <c r="H5" i="2"/>
  <c r="I5" i="2" s="1"/>
  <c r="G5" i="2"/>
  <c r="M5" i="2" s="1"/>
  <c r="F5" i="2"/>
  <c r="M4" i="2"/>
  <c r="L4" i="2"/>
  <c r="N4" i="2" s="1"/>
  <c r="K4" i="2"/>
  <c r="H4" i="2"/>
  <c r="I4" i="2" s="1"/>
  <c r="G4" i="2"/>
  <c r="J4" i="2" s="1"/>
  <c r="F4" i="2"/>
  <c r="L3" i="2"/>
  <c r="K3" i="2"/>
  <c r="H3" i="2"/>
  <c r="I3" i="2" s="1"/>
  <c r="G3" i="2"/>
  <c r="M3" i="2" s="1"/>
  <c r="F3" i="2"/>
  <c r="O11" i="2" l="1"/>
  <c r="N11" i="2"/>
  <c r="N7" i="2"/>
  <c r="O3" i="2"/>
  <c r="O12" i="2"/>
  <c r="O5" i="2"/>
  <c r="N9" i="2"/>
  <c r="N5" i="2"/>
  <c r="N10" i="2"/>
  <c r="N3" i="2"/>
  <c r="M8" i="2"/>
  <c r="O8" i="2" s="1"/>
  <c r="J11" i="2"/>
  <c r="M6" i="2"/>
  <c r="O6" i="2" s="1"/>
  <c r="N6" i="2"/>
  <c r="O4" i="2"/>
  <c r="J7" i="2"/>
  <c r="J5" i="2"/>
  <c r="O7" i="2"/>
  <c r="J3" i="2"/>
  <c r="J12" i="2"/>
  <c r="N12" i="2"/>
  <c r="N8" i="2" l="1"/>
</calcChain>
</file>

<file path=xl/sharedStrings.xml><?xml version="1.0" encoding="utf-8"?>
<sst xmlns="http://schemas.openxmlformats.org/spreadsheetml/2006/main" count="33" uniqueCount="32">
  <si>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</si>
  <si>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</si>
  <si>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</si>
  <si>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</si>
  <si>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</si>
  <si>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</si>
  <si>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</si>
  <si>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</si>
  <si>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</si>
  <si>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</si>
  <si>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</si>
  <si>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</si>
  <si>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</si>
  <si>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 - Formula Only</t>
  </si>
  <si>
    <t>Meets Both - AND()</t>
  </si>
  <si>
    <t>Job Goals:</t>
  </si>
  <si>
    <t>Data Scientist</t>
  </si>
  <si>
    <t>Experience (&lt;=)</t>
  </si>
  <si>
    <t>Machine Learning Engineer</t>
  </si>
  <si>
    <t>Total Salary (&gt;=)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</si>
  <si>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</si>
  <si>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</si>
  <si>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</si>
  <si>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</si>
  <si>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</si>
  <si>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</si>
  <si>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</si>
  <si>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</si>
  <si>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Average (by Cell)</t>
  </si>
  <si>
    <t>Average (AVERAGE())</t>
  </si>
  <si>
    <t>Total Count</t>
  </si>
  <si>
    <t>Meets Goals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</si>
</sst>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0" borderId="1" xfId="0" applyFont="1" applyBorder="1"/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4" fillId="0" borderId="0" xfId="0" applyFont="1"/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/>
    <xf numFmtId="0" fontId="2" fillId="0" borderId="7" xfId="0" applyFont="1" applyBorder="1"/>
    <xf numFmtId="164" fontId="2" fillId="0" borderId="7" xfId="1" applyNumberFormat="1" applyFont="1" applyBorder="1" applyAlignment="1"/>
    <xf numFmtId="0" fontId="2" fillId="0" borderId="7" xfId="1" applyNumberFormat="1" applyFont="1" applyBorder="1" applyAlignment="1"/>
    <xf numFmtId="0" fontId="3" fillId="0" borderId="2" xfId="0" applyFont="1" applyBorder="1"/>
    <xf numFmtId="0" fontId="2" fillId="0" borderId="4" xfId="0" applyFont="1" applyBorder="1"/>
    <xf numFmtId="0" fontId="3" fillId="0" borderId="11" xfId="0" applyFont="1" applyBorder="1"/>
    <xf numFmtId="0" fontId="2" fillId="0" borderId="12" xfId="0" applyFont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3" fillId="0" borderId="16" xfId="0" applyFont="1" applyBorder="1"/>
    <xf numFmtId="0" fontId="2" fillId="0" borderId="17" xfId="0" applyFont="1" applyBorder="1"/>
    <xf numFmtId="0" fontId="3" fillId="0" borderId="13" xfId="0" applyFont="1" applyBorder="1"/>
    <xf numFmtId="0" fontId="2" fillId="0" borderId="14" xfId="0" applyFont="1" applyBorder="1"/>
    <xf numFmtId="0" fontId="3" fillId="0" borderId="8" xfId="0" applyFont="1" applyBorder="1"/>
    <xf numFmtId="0" fontId="2" fillId="0" borderId="9" xfId="0" applyFont="1" applyBorder="1"/>
    <xf numFmtId="0" fontId="2" fillId="3" borderId="10" xfId="0" applyFont="1" applyFill="1" applyBorder="1"/>
    <xf numFmtId="0" fontId="2" fillId="3" borderId="12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FA4D-0E32-4B81-BCD7-2C2A8C56F02B}">
  <dimension ref="B1:S17"/>
  <sheetViews>
    <sheetView tabSelected="1" zoomScale="120" zoomScaleNormal="120" workbookViewId="0">
      <selection activeCell="L17" sqref="L17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customWidth="1"/>
    <col min="13" max="13" width="9" style="1" customWidth="1"/>
    <col min="14" max="14" width="10.44140625" style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"/>
    </row>
    <row r="2" spans="2:19" s="9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8" t="s">
        <v>14</v>
      </c>
      <c r="R2" s="10" t="s">
        <v>15</v>
      </c>
      <c r="S2" s="1"/>
    </row>
    <row r="3" spans="2:19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$S$3&lt;=C3</f>
        <v>1</v>
      </c>
      <c r="M3" s="15" t="b">
        <f t="shared" ref="M3:M12" si="1">$G3&gt;=$S$4</f>
        <v>1</v>
      </c>
      <c r="N3" s="15">
        <f>L3*M3</f>
        <v>1</v>
      </c>
      <c r="O3" s="15" t="b">
        <f>L3*M3=1</f>
        <v>1</v>
      </c>
      <c r="P3" s="15" t="b">
        <f>AND(L3,M3)</f>
        <v>1</v>
      </c>
      <c r="R3" s="18" t="s">
        <v>17</v>
      </c>
      <c r="S3" s="19">
        <v>5</v>
      </c>
    </row>
    <row r="4" spans="2:19" ht="15" thickBot="1" x14ac:dyDescent="0.35">
      <c r="B4" s="11" t="s">
        <v>18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15" t="b">
        <f t="shared" ref="P4:P12" si="10">AND(L4,M4)</f>
        <v>0</v>
      </c>
      <c r="R4" s="20" t="s">
        <v>19</v>
      </c>
      <c r="S4" s="21">
        <v>90000</v>
      </c>
    </row>
    <row r="5" spans="2:19" ht="15" thickBot="1" x14ac:dyDescent="0.35">
      <c r="B5" s="11" t="s">
        <v>20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15" t="b">
        <f t="shared" si="10"/>
        <v>0</v>
      </c>
    </row>
    <row r="6" spans="2:19" ht="15" thickBot="1" x14ac:dyDescent="0.35">
      <c r="B6" s="11" t="s">
        <v>21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15" t="b">
        <f t="shared" si="10"/>
        <v>1</v>
      </c>
    </row>
    <row r="7" spans="2:19" ht="15" thickBot="1" x14ac:dyDescent="0.35">
      <c r="B7" s="11" t="s">
        <v>22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15" t="b">
        <f t="shared" si="10"/>
        <v>0</v>
      </c>
    </row>
    <row r="8" spans="2:19" ht="15" thickBot="1" x14ac:dyDescent="0.35">
      <c r="B8" s="11" t="s">
        <v>23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15" t="b">
        <f t="shared" si="10"/>
        <v>1</v>
      </c>
    </row>
    <row r="9" spans="2:19" ht="15" thickBot="1" x14ac:dyDescent="0.35">
      <c r="B9" s="11" t="s">
        <v>24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15" t="b">
        <f t="shared" si="10"/>
        <v>1</v>
      </c>
    </row>
    <row r="10" spans="2:19" ht="15" thickBot="1" x14ac:dyDescent="0.35">
      <c r="B10" s="11" t="s">
        <v>25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15" t="b">
        <f t="shared" si="10"/>
        <v>1</v>
      </c>
    </row>
    <row r="11" spans="2:19" ht="15" thickBot="1" x14ac:dyDescent="0.35">
      <c r="B11" s="11" t="s">
        <v>26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15" t="b">
        <f t="shared" si="10"/>
        <v>0</v>
      </c>
    </row>
    <row r="12" spans="2:19" ht="15" thickBot="1" x14ac:dyDescent="0.35">
      <c r="B12" s="22" t="s">
        <v>27</v>
      </c>
      <c r="C12" s="23">
        <v>5</v>
      </c>
      <c r="D12" s="23">
        <v>115000</v>
      </c>
      <c r="E12" s="24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15" t="b">
        <f t="shared" si="10"/>
        <v>1</v>
      </c>
    </row>
    <row r="13" spans="2:19" ht="15" thickTop="1" x14ac:dyDescent="0.3">
      <c r="B13" s="25" t="s">
        <v>28</v>
      </c>
      <c r="C13" s="26">
        <f>(C3+C4+C5+C6+C7+C8+C9+C10+C11+C12)/10</f>
        <v>5.3</v>
      </c>
      <c r="D13" s="26">
        <f t="shared" ref="D13:E13" si="11">(D3+D4+D5+D6+D7+D8+D9+D10+D11+D12)/10</f>
        <v>119000</v>
      </c>
      <c r="E13" s="26">
        <f t="shared" si="11"/>
        <v>10400</v>
      </c>
    </row>
    <row r="14" spans="2:19" ht="15" thickBot="1" x14ac:dyDescent="0.35">
      <c r="B14" s="27" t="s">
        <v>29</v>
      </c>
      <c r="C14" s="28">
        <f>AVERAGE(C3:C12)</f>
        <v>5.3</v>
      </c>
      <c r="D14" s="28">
        <f t="shared" ref="D14:E14" si="12">AVERAGE(D3:D12)</f>
        <v>119000</v>
      </c>
      <c r="E14" s="28">
        <f t="shared" si="12"/>
        <v>10400</v>
      </c>
    </row>
    <row r="15" spans="2:19" ht="15" thickTop="1" x14ac:dyDescent="0.3">
      <c r="B15" s="25" t="s">
        <v>30</v>
      </c>
      <c r="C15" s="26">
        <f>COUNT(C3:C12)</f>
        <v>10</v>
      </c>
      <c r="D15" s="26">
        <f t="shared" ref="D15:E15" si="13">COUNT(D3:D12)</f>
        <v>10</v>
      </c>
      <c r="E15" s="26">
        <f t="shared" si="13"/>
        <v>10</v>
      </c>
    </row>
    <row r="16" spans="2:19" x14ac:dyDescent="0.3">
      <c r="B16" s="29" t="s">
        <v>31</v>
      </c>
      <c r="C16" s="30">
        <f>COUNTIF($C$3:$C$12,"&lt;=5")</f>
        <v>6</v>
      </c>
      <c r="D16" s="30">
        <f>COUNTIF($D$3:$D$12,"&gt;=90000")</f>
        <v>9</v>
      </c>
      <c r="E16" s="31"/>
    </row>
    <row r="17" spans="2:5" ht="15" thickBot="1" x14ac:dyDescent="0.35">
      <c r="B17" s="20" t="s">
        <v>31</v>
      </c>
      <c r="C17" s="30">
        <f>COUNTIF($C$3:$C$12,"&lt;="&amp;S3)</f>
        <v>6</v>
      </c>
      <c r="D17" s="30">
        <f>COUNTIF($D$3:$D$12,"&gt;="&amp;S4)</f>
        <v>9</v>
      </c>
      <c r="E17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Gouse</dc:creator>
  <cp:lastModifiedBy>mohammed Gouse</cp:lastModifiedBy>
  <dcterms:created xsi:type="dcterms:W3CDTF">2026-07-01T05:39:52Z</dcterms:created>
  <dcterms:modified xsi:type="dcterms:W3CDTF">2026-07-01T05:57:06Z</dcterms:modified>
</cp:coreProperties>
</file>