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56b23f02075ab8/Documents/Excel LUKE/2_Formulas_Functions/"/>
    </mc:Choice>
  </mc:AlternateContent>
  <xr:revisionPtr revIDLastSave="37" documentId="8_{92D78580-F57D-41A6-977D-327146A227F3}" xr6:coauthVersionLast="47" xr6:coauthVersionMax="47" xr10:uidLastSave="{E64FB0B6-0CDA-4CB9-8862-764EBB8C7986}"/>
  <bookViews>
    <workbookView xWindow="-96" yWindow="0" windowWidth="11712" windowHeight="13056" xr2:uid="{CC6914B6-427C-4110-A9D3-64A61308B56D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" i="2" l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Z2" i="2" a="1"/>
  <c r="Z2" i="2" s="1"/>
  <c r="AA2" i="2" a="1"/>
  <c r="AA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T3" i="2"/>
  <c r="U3" i="2"/>
  <c r="V3" i="2"/>
  <c r="T4" i="2"/>
  <c r="U4" i="2"/>
  <c r="V4" i="2"/>
  <c r="T5" i="2"/>
  <c r="U5" i="2"/>
  <c r="V5" i="2"/>
  <c r="T6" i="2"/>
  <c r="U6" i="2"/>
  <c r="V6" i="2"/>
  <c r="T7" i="2"/>
  <c r="U7" i="2"/>
  <c r="V7" i="2"/>
  <c r="T8" i="2"/>
  <c r="U8" i="2"/>
  <c r="V8" i="2"/>
  <c r="T9" i="2"/>
  <c r="U9" i="2"/>
  <c r="V9" i="2"/>
  <c r="T10" i="2"/>
  <c r="U10" i="2"/>
  <c r="V10" i="2"/>
  <c r="T11" i="2"/>
  <c r="U11" i="2"/>
  <c r="V11" i="2"/>
  <c r="T12" i="2"/>
  <c r="U12" i="2"/>
  <c r="V12" i="2"/>
  <c r="T13" i="2"/>
  <c r="U13" i="2"/>
  <c r="V13" i="2"/>
  <c r="T14" i="2"/>
  <c r="U14" i="2"/>
  <c r="V14" i="2"/>
  <c r="T15" i="2"/>
  <c r="U15" i="2"/>
  <c r="V15" i="2"/>
  <c r="T16" i="2"/>
  <c r="U16" i="2"/>
  <c r="V16" i="2"/>
  <c r="T17" i="2"/>
  <c r="U17" i="2"/>
  <c r="V17" i="2"/>
  <c r="T18" i="2"/>
  <c r="U18" i="2"/>
  <c r="V18" i="2"/>
  <c r="T19" i="2"/>
  <c r="U19" i="2"/>
  <c r="V19" i="2"/>
  <c r="T20" i="2"/>
  <c r="U20" i="2"/>
  <c r="V20" i="2"/>
  <c r="T21" i="2"/>
  <c r="U21" i="2"/>
  <c r="V21" i="2"/>
  <c r="X2" i="2"/>
  <c r="V2" i="2"/>
  <c r="U2" i="2"/>
  <c r="T2" i="2"/>
  <c r="P2" i="2"/>
  <c r="R2" i="2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" i="2"/>
  <c r="J3" i="2"/>
  <c r="K3" i="2"/>
  <c r="L3" i="2"/>
  <c r="J4" i="2"/>
  <c r="K4" i="2"/>
  <c r="L4" i="2"/>
  <c r="J5" i="2"/>
  <c r="K5" i="2"/>
  <c r="L5" i="2"/>
  <c r="J6" i="2"/>
  <c r="K6" i="2"/>
  <c r="L6" i="2"/>
  <c r="J7" i="2"/>
  <c r="K7" i="2"/>
  <c r="L7" i="2"/>
  <c r="J8" i="2"/>
  <c r="K8" i="2"/>
  <c r="L8" i="2"/>
  <c r="J9" i="2"/>
  <c r="K9" i="2"/>
  <c r="L9" i="2"/>
  <c r="J10" i="2"/>
  <c r="K10" i="2"/>
  <c r="L10" i="2"/>
  <c r="J11" i="2"/>
  <c r="K11" i="2"/>
  <c r="L11" i="2"/>
  <c r="J12" i="2"/>
  <c r="K12" i="2"/>
  <c r="L12" i="2"/>
  <c r="J13" i="2"/>
  <c r="K13" i="2"/>
  <c r="L13" i="2"/>
  <c r="J14" i="2"/>
  <c r="K14" i="2"/>
  <c r="L14" i="2"/>
  <c r="J15" i="2"/>
  <c r="K15" i="2"/>
  <c r="L15" i="2"/>
  <c r="J16" i="2"/>
  <c r="K16" i="2"/>
  <c r="L16" i="2"/>
  <c r="J17" i="2"/>
  <c r="K17" i="2"/>
  <c r="L17" i="2"/>
  <c r="J18" i="2"/>
  <c r="K18" i="2"/>
  <c r="L18" i="2"/>
  <c r="J19" i="2"/>
  <c r="K19" i="2"/>
  <c r="L19" i="2"/>
  <c r="J20" i="2"/>
  <c r="K20" i="2"/>
  <c r="L20" i="2"/>
  <c r="J21" i="2"/>
  <c r="K21" i="2"/>
  <c r="L21" i="2"/>
  <c r="L2" i="2"/>
  <c r="K2" i="2"/>
  <c r="J2" i="2"/>
  <c r="R20" i="2" l="1"/>
  <c r="R18" i="2"/>
  <c r="R15" i="2"/>
  <c r="R12" i="2"/>
  <c r="R21" i="2"/>
  <c r="R19" i="2"/>
  <c r="R17" i="2"/>
  <c r="R16" i="2"/>
  <c r="R14" i="2"/>
  <c r="R13" i="2"/>
  <c r="R11" i="2"/>
  <c r="R10" i="2"/>
  <c r="R9" i="2"/>
  <c r="R8" i="2"/>
  <c r="R7" i="2"/>
  <c r="R6" i="2"/>
  <c r="R5" i="2"/>
  <c r="R4" i="2"/>
  <c r="R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<sst xmlns="http://schemas.openxmlformats.org/spreadsheetml/2006/main" count="161" uniqueCount="96">
  <si>
    <t>Applicant ID</t>
  </si>
  <si>
    <t>Full Name</t>
  </si>
  <si>
    <t>Job Position</t>
  </si>
  <si>
    <t>Application Date &amp; Time</t>
  </si>
  <si>
    <t>Email</t>
  </si>
  <si>
    <t>Street</t>
  </si>
  <si>
    <t>City State Zip</t>
  </si>
  <si>
    <t>Skills List</t>
  </si>
  <si>
    <t>Month</t>
  </si>
  <si>
    <t>Day</t>
  </si>
  <si>
    <t>Year</t>
  </si>
  <si>
    <t>Application Date</t>
  </si>
  <si>
    <t>Today</t>
  </si>
  <si>
    <t>Days Since Applied</t>
  </si>
  <si>
    <t>Hour</t>
  </si>
  <si>
    <t>Minute</t>
  </si>
  <si>
    <t>Second</t>
  </si>
  <si>
    <t>Application Time</t>
  </si>
  <si>
    <t>Hours in a Day</t>
  </si>
  <si>
    <t>AID0123548</t>
  </si>
  <si>
    <t>Pam Beesly</t>
  </si>
  <si>
    <t>Data Analyst</t>
  </si>
  <si>
    <t>pam.beesly@outlook.com</t>
  </si>
  <si>
    <t>457 Oak St</t>
  </si>
  <si>
    <t>San Jose, CA, 95101</t>
  </si>
  <si>
    <t>Kafka, DataBricks, Spark, Python, GCP</t>
  </si>
  <si>
    <t>AID0123549</t>
  </si>
  <si>
    <t>Michael Scott</t>
  </si>
  <si>
    <t>Business Intelligence Analyst</t>
  </si>
  <si>
    <t>michael.scott@gmail.com</t>
  </si>
  <si>
    <t>203 Birch St</t>
  </si>
  <si>
    <t>Chicago, IL, 60601</t>
  </si>
  <si>
    <t>Power BI, GCP, Airflow, Hadoop, R</t>
  </si>
  <si>
    <t>AID0123550</t>
  </si>
  <si>
    <t>Kevin Malone</t>
  </si>
  <si>
    <t>Data Engineer</t>
  </si>
  <si>
    <t>kevin.malone@aol.com</t>
  </si>
  <si>
    <t>790 Pine St</t>
  </si>
  <si>
    <t>Azure, Java, SQL, DataBricks</t>
  </si>
  <si>
    <t>AID0123551</t>
  </si>
  <si>
    <t>AID0123552</t>
  </si>
  <si>
    <t>Jim Halpert</t>
  </si>
  <si>
    <t>Data Scientist</t>
  </si>
  <si>
    <t>jim.halpert@hotmail.com</t>
  </si>
  <si>
    <t>459 Oak St</t>
  </si>
  <si>
    <t>Philadelphia, PA, 19101</t>
  </si>
  <si>
    <t>DataBricks, Hadoop, Java</t>
  </si>
  <si>
    <t>AID0123553</t>
  </si>
  <si>
    <t>Ryan Howard</t>
  </si>
  <si>
    <t>Machine Learning Engineer</t>
  </si>
  <si>
    <t>ryan.howard@aol.com</t>
  </si>
  <si>
    <t>204 Birch St</t>
  </si>
  <si>
    <t>Snowflake, Airflow, DataBricks</t>
  </si>
  <si>
    <t>AID0123554</t>
  </si>
  <si>
    <t>AID0123555</t>
  </si>
  <si>
    <t>AID0123556</t>
  </si>
  <si>
    <t>Stanley Hudson</t>
  </si>
  <si>
    <t>stanley.hudson@gmail.com</t>
  </si>
  <si>
    <t>123 Elm St</t>
  </si>
  <si>
    <t>Scala, Azure, R, Kafka</t>
  </si>
  <si>
    <t>AID0123557</t>
  </si>
  <si>
    <t>Angela Martin</t>
  </si>
  <si>
    <t>angela.martin@ymail.com</t>
  </si>
  <si>
    <t>Los Angeles, CA, 90001</t>
  </si>
  <si>
    <t>Snowflake, Excel, Scala</t>
  </si>
  <si>
    <t>AID0123558</t>
  </si>
  <si>
    <t>Dwight Schrute</t>
  </si>
  <si>
    <t>dwight.schrute@gmail.com</t>
  </si>
  <si>
    <t>San Diego, CA, 92101</t>
  </si>
  <si>
    <t>Excel, Power BI, R</t>
  </si>
  <si>
    <t>AID0123559</t>
  </si>
  <si>
    <t>Oscar Martinez</t>
  </si>
  <si>
    <t>oscar.martinez@outlook.com</t>
  </si>
  <si>
    <t>202 Birch St</t>
  </si>
  <si>
    <t>Scala, R, Hadoop, Power BI, SQL</t>
  </si>
  <si>
    <t>AID0123560</t>
  </si>
  <si>
    <t>AID0123561</t>
  </si>
  <si>
    <t>Phyllis Vance</t>
  </si>
  <si>
    <t>phyllis.vance@gmail.com</t>
  </si>
  <si>
    <t>Java, Scala, R</t>
  </si>
  <si>
    <t>AID0123562</t>
  </si>
  <si>
    <t>Meredith Palmer</t>
  </si>
  <si>
    <t>meredith.palmer@outlook.com</t>
  </si>
  <si>
    <t>456 Oak St</t>
  </si>
  <si>
    <t>DataBricks, Azure, Scala</t>
  </si>
  <si>
    <t>AID0123563</t>
  </si>
  <si>
    <t>Chicago, IL, 60602</t>
  </si>
  <si>
    <t>AID0123564</t>
  </si>
  <si>
    <t>AID0123565</t>
  </si>
  <si>
    <t>Kelly Kapoor</t>
  </si>
  <si>
    <t>kelly.kapoor@gmail.com</t>
  </si>
  <si>
    <t>New York, NY, 10001</t>
  </si>
  <si>
    <t>Snowflake, Power BI, Tableau, Airflow, SQL</t>
  </si>
  <si>
    <t>AID0123566</t>
  </si>
  <si>
    <t>AID0123567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</si>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</sst>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1" fillId="2" borderId="3" xfId="0" applyFont="1" applyFill="1" applyBorder="1"/>
    <xf numFmtId="0" fontId="1" fillId="3" borderId="4" xfId="0" applyFont="1" applyFill="1" applyBorder="1"/>
    <xf numFmtId="0" fontId="1" fillId="2" borderId="0" xfId="0" applyFont="1" applyFill="1"/>
    <xf numFmtId="0" fontId="0" fillId="2" borderId="0" xfId="0" applyFill="1"/>
    <xf numFmtId="0" fontId="0" fillId="0" borderId="5" xfId="0" applyBorder="1"/>
    <xf numFmtId="0" fontId="0" fillId="0" borderId="6" xfId="0" applyBorder="1"/>
    <xf numFmtId="164" fontId="0" fillId="0" borderId="6" xfId="0" applyNumberFormat="1" applyBorder="1"/>
    <xf numFmtId="0" fontId="0" fillId="0" borderId="7" xfId="0" applyBorder="1"/>
    <xf numFmtId="14" fontId="0" fillId="0" borderId="0" xfId="0" applyNumberFormat="1"/>
    <xf numFmtId="18" fontId="0" fillId="0" borderId="0" xfId="0" applyNumberFormat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209973753280839E-2"/>
          <c:y val="0.14393518518518519"/>
          <c:w val="0.915530183727034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0-4C28-BDE1-BF0612986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2533999"/>
        <c:axId val="497567055"/>
      </c:barChart>
      <c:catAx>
        <c:axId val="31253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67055"/>
        <c:crosses val="autoZero"/>
        <c:auto val="1"/>
        <c:lblAlgn val="ctr"/>
        <c:lblOffset val="100"/>
        <c:noMultiLvlLbl val="0"/>
      </c:catAx>
      <c:valAx>
        <c:axId val="49756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53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358140</xdr:colOff>
      <xdr:row>8</xdr:row>
      <xdr:rowOff>26670</xdr:rowOff>
    </xdr:from>
    <xdr:to>
      <xdr:col>36</xdr:col>
      <xdr:colOff>53340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D9409E-DFC0-97DD-C4E5-0D57DBE08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118F-48DB-4D87-819A-11053DC7AC9D}">
  <dimension ref="A1:AB25"/>
  <sheetViews>
    <sheetView tabSelected="1" topLeftCell="U1" workbookViewId="0">
      <selection activeCell="AI6" sqref="AI6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12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10" max="10" width="6.77734375" bestFit="1" customWidth="1"/>
    <col min="11" max="13" width="8.88671875" customWidth="1"/>
    <col min="14" max="14" width="14.21875" customWidth="1"/>
    <col min="15" max="15" width="8.88671875" customWidth="1"/>
    <col min="16" max="16" width="10.33203125" bestFit="1" customWidth="1"/>
    <col min="17" max="17" width="8.88671875" customWidth="1"/>
    <col min="18" max="18" width="16.88671875" bestFit="1" customWidth="1"/>
    <col min="19" max="23" width="8.88671875" customWidth="1"/>
    <col min="24" max="24" width="15.21875" bestFit="1" customWidth="1"/>
    <col min="25" max="25" width="14.33203125" customWidth="1"/>
    <col min="26" max="26" width="8.88671875" customWidth="1"/>
  </cols>
  <sheetData>
    <row r="1" spans="1:28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/>
      <c r="J1" s="6" t="s">
        <v>8</v>
      </c>
      <c r="K1" s="6" t="s">
        <v>9</v>
      </c>
      <c r="L1" s="6" t="s">
        <v>10</v>
      </c>
      <c r="N1" s="6" t="s">
        <v>11</v>
      </c>
      <c r="P1" s="6" t="s">
        <v>12</v>
      </c>
      <c r="R1" s="6" t="s">
        <v>13</v>
      </c>
      <c r="T1" s="6" t="s">
        <v>14</v>
      </c>
      <c r="U1" s="6" t="s">
        <v>15</v>
      </c>
      <c r="V1" s="6" t="s">
        <v>16</v>
      </c>
      <c r="X1" s="6" t="s">
        <v>17</v>
      </c>
      <c r="Y1" s="6" t="s">
        <v>17</v>
      </c>
      <c r="Z1" s="6" t="s">
        <v>95</v>
      </c>
      <c r="AA1" s="6" t="s">
        <v>18</v>
      </c>
      <c r="AB1" s="7"/>
    </row>
    <row r="2" spans="1:28" x14ac:dyDescent="0.3">
      <c r="A2" s="8" t="s">
        <v>19</v>
      </c>
      <c r="B2" s="9" t="s">
        <v>20</v>
      </c>
      <c r="C2" s="9" t="s">
        <v>21</v>
      </c>
      <c r="D2" s="10">
        <v>44971.640451388892</v>
      </c>
      <c r="E2" s="9" t="s">
        <v>22</v>
      </c>
      <c r="F2" s="9" t="s">
        <v>23</v>
      </c>
      <c r="G2" s="9" t="s">
        <v>24</v>
      </c>
      <c r="H2" s="11" t="s">
        <v>25</v>
      </c>
      <c r="J2">
        <f>MONTH(D2)</f>
        <v>2</v>
      </c>
      <c r="K2">
        <f>DAY(D2)</f>
        <v>14</v>
      </c>
      <c r="L2">
        <f>YEAR(D2)</f>
        <v>2023</v>
      </c>
      <c r="N2" s="12">
        <f xml:space="preserve"> DATE(L2,J2,K2)</f>
        <v>44971</v>
      </c>
      <c r="P2" s="12">
        <f ca="1">TODAY()</f>
        <v>46210</v>
      </c>
      <c r="R2">
        <f ca="1">DATEDIF(N2,$P$2,"D")</f>
        <v>1239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 "HH:MM AM/PM")</f>
        <v>03:22 PM</v>
      </c>
      <c r="Z2" cm="1">
        <f t="array" ref="Z2:Z21">HOUR(D2:D21)</f>
        <v>15</v>
      </c>
      <c r="AA2" cm="1">
        <f t="array" ref="AA2:AA25">_xlfn.SEQUENCE(24,,1)</f>
        <v>1</v>
      </c>
      <c r="AB2">
        <f>COUNTIF(_xlfn.ANCHORARRAY($Z$2),AA2)</f>
        <v>0</v>
      </c>
    </row>
    <row r="3" spans="1:28" x14ac:dyDescent="0.3">
      <c r="A3" s="8" t="s">
        <v>26</v>
      </c>
      <c r="B3" s="9" t="s">
        <v>27</v>
      </c>
      <c r="C3" s="9" t="s">
        <v>28</v>
      </c>
      <c r="D3" s="10">
        <v>45055.40662037037</v>
      </c>
      <c r="E3" s="9" t="s">
        <v>29</v>
      </c>
      <c r="F3" s="9" t="s">
        <v>30</v>
      </c>
      <c r="G3" s="9" t="s">
        <v>31</v>
      </c>
      <c r="H3" s="11" t="s">
        <v>32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12">
        <f t="shared" ref="N3:N21" si="3" xml:space="preserve"> DATE(L3,J3,K3)</f>
        <v>45055</v>
      </c>
      <c r="R3">
        <f t="shared" ref="R3:R21" ca="1" si="4">DATEDIF(N3,$P$2,"D")</f>
        <v>1155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 "HH:MM AM/PM")</f>
        <v>09:45 AM</v>
      </c>
      <c r="Z3">
        <v>9</v>
      </c>
      <c r="AA3">
        <v>2</v>
      </c>
      <c r="AB3">
        <f t="shared" ref="AB3:AB25" si="10">COUNTIF(_xlfn.ANCHORARRAY($Z$2),AA3)</f>
        <v>0</v>
      </c>
    </row>
    <row r="4" spans="1:28" x14ac:dyDescent="0.3">
      <c r="A4" s="8" t="s">
        <v>33</v>
      </c>
      <c r="B4" s="9" t="s">
        <v>34</v>
      </c>
      <c r="C4" s="9" t="s">
        <v>35</v>
      </c>
      <c r="D4" s="10">
        <v>45128.729710648149</v>
      </c>
      <c r="E4" s="9" t="s">
        <v>36</v>
      </c>
      <c r="F4" s="9" t="s">
        <v>37</v>
      </c>
      <c r="G4" s="9" t="s">
        <v>31</v>
      </c>
      <c r="H4" s="11" t="s">
        <v>38</v>
      </c>
      <c r="J4">
        <f t="shared" si="0"/>
        <v>7</v>
      </c>
      <c r="K4">
        <f t="shared" si="1"/>
        <v>21</v>
      </c>
      <c r="L4">
        <f t="shared" si="2"/>
        <v>2023</v>
      </c>
      <c r="N4" s="12">
        <f t="shared" si="3"/>
        <v>45128</v>
      </c>
      <c r="R4">
        <f t="shared" ca="1" si="4"/>
        <v>1082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Z4">
        <v>17</v>
      </c>
      <c r="AA4">
        <v>3</v>
      </c>
      <c r="AB4">
        <f t="shared" si="10"/>
        <v>0</v>
      </c>
    </row>
    <row r="5" spans="1:28" x14ac:dyDescent="0.3">
      <c r="A5" s="8" t="s">
        <v>39</v>
      </c>
      <c r="B5" s="9" t="s">
        <v>20</v>
      </c>
      <c r="C5" s="9" t="s">
        <v>28</v>
      </c>
      <c r="D5" s="10">
        <v>45173.302187499998</v>
      </c>
      <c r="E5" s="9" t="s">
        <v>22</v>
      </c>
      <c r="F5" s="9" t="s">
        <v>23</v>
      </c>
      <c r="G5" s="9" t="s">
        <v>24</v>
      </c>
      <c r="H5" s="11" t="s">
        <v>25</v>
      </c>
      <c r="J5">
        <f t="shared" si="0"/>
        <v>9</v>
      </c>
      <c r="K5">
        <f t="shared" si="1"/>
        <v>4</v>
      </c>
      <c r="L5">
        <f t="shared" si="2"/>
        <v>2023</v>
      </c>
      <c r="N5" s="12">
        <f t="shared" si="3"/>
        <v>45173</v>
      </c>
      <c r="R5">
        <f t="shared" ca="1" si="4"/>
        <v>1037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v>7</v>
      </c>
      <c r="AA5">
        <v>4</v>
      </c>
      <c r="AB5">
        <f t="shared" si="10"/>
        <v>0</v>
      </c>
    </row>
    <row r="6" spans="1:28" x14ac:dyDescent="0.3">
      <c r="A6" s="8" t="s">
        <v>40</v>
      </c>
      <c r="B6" s="9" t="s">
        <v>41</v>
      </c>
      <c r="C6" s="9" t="s">
        <v>42</v>
      </c>
      <c r="D6" s="10">
        <v>45248.70857638889</v>
      </c>
      <c r="E6" s="9" t="s">
        <v>43</v>
      </c>
      <c r="F6" s="9" t="s">
        <v>44</v>
      </c>
      <c r="G6" s="9" t="s">
        <v>45</v>
      </c>
      <c r="H6" s="11" t="s">
        <v>46</v>
      </c>
      <c r="J6">
        <f t="shared" si="0"/>
        <v>11</v>
      </c>
      <c r="K6">
        <f t="shared" si="1"/>
        <v>18</v>
      </c>
      <c r="L6">
        <f t="shared" si="2"/>
        <v>2023</v>
      </c>
      <c r="N6" s="12">
        <f t="shared" si="3"/>
        <v>45248</v>
      </c>
      <c r="R6">
        <f t="shared" ca="1" si="4"/>
        <v>962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v>17</v>
      </c>
      <c r="AA6">
        <v>5</v>
      </c>
      <c r="AB6">
        <f t="shared" si="10"/>
        <v>0</v>
      </c>
    </row>
    <row r="7" spans="1:28" x14ac:dyDescent="0.3">
      <c r="A7" s="8" t="s">
        <v>47</v>
      </c>
      <c r="B7" s="9" t="s">
        <v>48</v>
      </c>
      <c r="C7" s="9" t="s">
        <v>49</v>
      </c>
      <c r="D7" s="10">
        <v>45302.531921296293</v>
      </c>
      <c r="E7" s="9" t="s">
        <v>50</v>
      </c>
      <c r="F7" s="9" t="s">
        <v>51</v>
      </c>
      <c r="G7" s="9" t="s">
        <v>45</v>
      </c>
      <c r="H7" s="11" t="s">
        <v>52</v>
      </c>
      <c r="J7">
        <f t="shared" si="0"/>
        <v>1</v>
      </c>
      <c r="K7">
        <f t="shared" si="1"/>
        <v>11</v>
      </c>
      <c r="L7">
        <f t="shared" si="2"/>
        <v>2024</v>
      </c>
      <c r="N7" s="12">
        <f t="shared" si="3"/>
        <v>45302</v>
      </c>
      <c r="R7">
        <f t="shared" ca="1" si="4"/>
        <v>908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Z7">
        <v>12</v>
      </c>
      <c r="AA7">
        <v>6</v>
      </c>
      <c r="AB7">
        <f t="shared" si="10"/>
        <v>1</v>
      </c>
    </row>
    <row r="8" spans="1:28" x14ac:dyDescent="0.3">
      <c r="A8" s="8" t="s">
        <v>53</v>
      </c>
      <c r="B8" s="9" t="s">
        <v>34</v>
      </c>
      <c r="C8" s="9" t="s">
        <v>28</v>
      </c>
      <c r="D8" s="10">
        <v>45354.687881944446</v>
      </c>
      <c r="E8" s="9" t="s">
        <v>36</v>
      </c>
      <c r="F8" s="9" t="s">
        <v>37</v>
      </c>
      <c r="G8" s="9" t="s">
        <v>31</v>
      </c>
      <c r="H8" s="11" t="s">
        <v>38</v>
      </c>
      <c r="J8">
        <f t="shared" si="0"/>
        <v>3</v>
      </c>
      <c r="K8">
        <f t="shared" si="1"/>
        <v>3</v>
      </c>
      <c r="L8">
        <f t="shared" si="2"/>
        <v>2024</v>
      </c>
      <c r="N8" s="12">
        <f t="shared" si="3"/>
        <v>45354</v>
      </c>
      <c r="R8">
        <f t="shared" ca="1" si="4"/>
        <v>856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v>16</v>
      </c>
      <c r="AA8">
        <v>7</v>
      </c>
      <c r="AB8">
        <f t="shared" si="10"/>
        <v>3</v>
      </c>
    </row>
    <row r="9" spans="1:28" x14ac:dyDescent="0.3">
      <c r="A9" s="8" t="s">
        <v>54</v>
      </c>
      <c r="B9" s="9" t="s">
        <v>48</v>
      </c>
      <c r="C9" s="9" t="s">
        <v>21</v>
      </c>
      <c r="D9" s="10">
        <v>45408.340810185182</v>
      </c>
      <c r="E9" s="9" t="s">
        <v>50</v>
      </c>
      <c r="F9" s="9" t="s">
        <v>51</v>
      </c>
      <c r="G9" s="9" t="s">
        <v>45</v>
      </c>
      <c r="H9" s="11" t="s">
        <v>52</v>
      </c>
      <c r="J9">
        <f t="shared" si="0"/>
        <v>4</v>
      </c>
      <c r="K9">
        <f t="shared" si="1"/>
        <v>26</v>
      </c>
      <c r="L9">
        <f t="shared" si="2"/>
        <v>2024</v>
      </c>
      <c r="N9" s="12">
        <f t="shared" si="3"/>
        <v>45408</v>
      </c>
      <c r="R9">
        <f t="shared" ca="1" si="4"/>
        <v>802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v>8</v>
      </c>
      <c r="AA9">
        <v>8</v>
      </c>
      <c r="AB9">
        <f t="shared" si="10"/>
        <v>1</v>
      </c>
    </row>
    <row r="10" spans="1:28" x14ac:dyDescent="0.3">
      <c r="A10" s="8" t="s">
        <v>55</v>
      </c>
      <c r="B10" s="9" t="s">
        <v>56</v>
      </c>
      <c r="C10" s="9" t="s">
        <v>42</v>
      </c>
      <c r="D10" s="10">
        <v>45458.743333333332</v>
      </c>
      <c r="E10" s="9" t="s">
        <v>57</v>
      </c>
      <c r="F10" s="9" t="s">
        <v>58</v>
      </c>
      <c r="G10" s="9" t="s">
        <v>31</v>
      </c>
      <c r="H10" s="11" t="s">
        <v>59</v>
      </c>
      <c r="J10">
        <f t="shared" si="0"/>
        <v>6</v>
      </c>
      <c r="K10">
        <f t="shared" si="1"/>
        <v>15</v>
      </c>
      <c r="L10">
        <f t="shared" si="2"/>
        <v>2024</v>
      </c>
      <c r="N10" s="12">
        <f t="shared" si="3"/>
        <v>45458</v>
      </c>
      <c r="R10">
        <f t="shared" ca="1" si="4"/>
        <v>752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v>17</v>
      </c>
      <c r="AA10">
        <v>9</v>
      </c>
      <c r="AB10">
        <f t="shared" si="10"/>
        <v>1</v>
      </c>
    </row>
    <row r="11" spans="1:28" x14ac:dyDescent="0.3">
      <c r="A11" s="8" t="s">
        <v>60</v>
      </c>
      <c r="B11" s="9" t="s">
        <v>61</v>
      </c>
      <c r="C11" s="9" t="s">
        <v>35</v>
      </c>
      <c r="D11" s="10">
        <v>45480.608055555553</v>
      </c>
      <c r="E11" s="9" t="s">
        <v>62</v>
      </c>
      <c r="F11" s="9" t="s">
        <v>58</v>
      </c>
      <c r="G11" s="9" t="s">
        <v>63</v>
      </c>
      <c r="H11" s="11" t="s">
        <v>64</v>
      </c>
      <c r="J11">
        <f t="shared" si="0"/>
        <v>7</v>
      </c>
      <c r="K11">
        <f t="shared" si="1"/>
        <v>7</v>
      </c>
      <c r="L11">
        <f t="shared" si="2"/>
        <v>2024</v>
      </c>
      <c r="N11" s="12">
        <f t="shared" si="3"/>
        <v>45480</v>
      </c>
      <c r="R11">
        <f t="shared" ca="1" si="4"/>
        <v>730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v>14</v>
      </c>
      <c r="AA11">
        <v>10</v>
      </c>
      <c r="AB11">
        <f t="shared" si="10"/>
        <v>1</v>
      </c>
    </row>
    <row r="12" spans="1:28" x14ac:dyDescent="0.3">
      <c r="A12" s="8" t="s">
        <v>65</v>
      </c>
      <c r="B12" s="9" t="s">
        <v>66</v>
      </c>
      <c r="C12" s="9" t="s">
        <v>42</v>
      </c>
      <c r="D12" s="10">
        <v>45455.284930555557</v>
      </c>
      <c r="E12" s="9" t="s">
        <v>67</v>
      </c>
      <c r="F12" s="9" t="s">
        <v>58</v>
      </c>
      <c r="G12" s="9" t="s">
        <v>68</v>
      </c>
      <c r="H12" s="11" t="s">
        <v>69</v>
      </c>
      <c r="J12">
        <f t="shared" si="0"/>
        <v>6</v>
      </c>
      <c r="K12">
        <f t="shared" si="1"/>
        <v>12</v>
      </c>
      <c r="L12">
        <f t="shared" si="2"/>
        <v>2024</v>
      </c>
      <c r="N12" s="12">
        <f t="shared" si="3"/>
        <v>45455</v>
      </c>
      <c r="R12">
        <f t="shared" ca="1" si="4"/>
        <v>755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Z12">
        <v>6</v>
      </c>
      <c r="AA12">
        <v>11</v>
      </c>
      <c r="AB12">
        <f t="shared" si="10"/>
        <v>1</v>
      </c>
    </row>
    <row r="13" spans="1:28" x14ac:dyDescent="0.3">
      <c r="A13" s="8" t="s">
        <v>70</v>
      </c>
      <c r="B13" s="9" t="s">
        <v>71</v>
      </c>
      <c r="C13" s="9" t="s">
        <v>49</v>
      </c>
      <c r="D13" s="10">
        <v>44951.552141203705</v>
      </c>
      <c r="E13" s="9" t="s">
        <v>72</v>
      </c>
      <c r="F13" s="9" t="s">
        <v>73</v>
      </c>
      <c r="G13" s="9" t="s">
        <v>31</v>
      </c>
      <c r="H13" s="11" t="s">
        <v>74</v>
      </c>
      <c r="J13">
        <f t="shared" si="0"/>
        <v>1</v>
      </c>
      <c r="K13">
        <f t="shared" si="1"/>
        <v>25</v>
      </c>
      <c r="L13">
        <f t="shared" si="2"/>
        <v>2023</v>
      </c>
      <c r="N13" s="12">
        <f t="shared" si="3"/>
        <v>44951</v>
      </c>
      <c r="R13">
        <f t="shared" ca="1" si="4"/>
        <v>1259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v>13</v>
      </c>
      <c r="AA13">
        <v>12</v>
      </c>
      <c r="AB13">
        <f t="shared" si="10"/>
        <v>1</v>
      </c>
    </row>
    <row r="14" spans="1:28" x14ac:dyDescent="0.3">
      <c r="A14" s="8" t="s">
        <v>75</v>
      </c>
      <c r="B14" s="9" t="s">
        <v>48</v>
      </c>
      <c r="C14" s="9" t="s">
        <v>35</v>
      </c>
      <c r="D14" s="10">
        <v>45002.490034722221</v>
      </c>
      <c r="E14" s="9" t="s">
        <v>50</v>
      </c>
      <c r="F14" s="9" t="s">
        <v>51</v>
      </c>
      <c r="G14" s="9" t="s">
        <v>45</v>
      </c>
      <c r="H14" s="11" t="s">
        <v>52</v>
      </c>
      <c r="J14">
        <f t="shared" si="0"/>
        <v>3</v>
      </c>
      <c r="K14">
        <f t="shared" si="1"/>
        <v>17</v>
      </c>
      <c r="L14">
        <f t="shared" si="2"/>
        <v>2023</v>
      </c>
      <c r="N14" s="12">
        <f t="shared" si="3"/>
        <v>45002</v>
      </c>
      <c r="R14">
        <f t="shared" ca="1" si="4"/>
        <v>1208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Z14">
        <v>11</v>
      </c>
      <c r="AA14">
        <v>13</v>
      </c>
      <c r="AB14">
        <f t="shared" si="10"/>
        <v>1</v>
      </c>
    </row>
    <row r="15" spans="1:28" x14ac:dyDescent="0.3">
      <c r="A15" s="8" t="s">
        <v>76</v>
      </c>
      <c r="B15" s="9" t="s">
        <v>77</v>
      </c>
      <c r="C15" s="9" t="s">
        <v>49</v>
      </c>
      <c r="D15" s="10">
        <v>45078.417256944442</v>
      </c>
      <c r="E15" s="9" t="s">
        <v>78</v>
      </c>
      <c r="F15" s="9" t="s">
        <v>58</v>
      </c>
      <c r="G15" s="9" t="s">
        <v>31</v>
      </c>
      <c r="H15" s="11" t="s">
        <v>79</v>
      </c>
      <c r="J15">
        <f t="shared" si="0"/>
        <v>6</v>
      </c>
      <c r="K15">
        <f t="shared" si="1"/>
        <v>1</v>
      </c>
      <c r="L15">
        <f t="shared" si="2"/>
        <v>2023</v>
      </c>
      <c r="N15" s="12">
        <f t="shared" si="3"/>
        <v>45078</v>
      </c>
      <c r="R15">
        <f t="shared" ca="1" si="4"/>
        <v>1132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v>10</v>
      </c>
      <c r="AA15">
        <v>14</v>
      </c>
      <c r="AB15">
        <f t="shared" si="10"/>
        <v>1</v>
      </c>
    </row>
    <row r="16" spans="1:28" x14ac:dyDescent="0.3">
      <c r="A16" s="8" t="s">
        <v>80</v>
      </c>
      <c r="B16" s="9" t="s">
        <v>81</v>
      </c>
      <c r="C16" s="9" t="s">
        <v>49</v>
      </c>
      <c r="D16" s="10">
        <v>45168.729328703703</v>
      </c>
      <c r="E16" s="9" t="s">
        <v>82</v>
      </c>
      <c r="F16" s="9" t="s">
        <v>83</v>
      </c>
      <c r="G16" s="9" t="s">
        <v>31</v>
      </c>
      <c r="H16" s="11" t="s">
        <v>84</v>
      </c>
      <c r="J16">
        <f t="shared" si="0"/>
        <v>8</v>
      </c>
      <c r="K16">
        <f t="shared" si="1"/>
        <v>30</v>
      </c>
      <c r="L16">
        <f t="shared" si="2"/>
        <v>2023</v>
      </c>
      <c r="N16" s="12">
        <f t="shared" si="3"/>
        <v>45168</v>
      </c>
      <c r="R16">
        <f t="shared" ca="1" si="4"/>
        <v>1042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Z16">
        <v>17</v>
      </c>
      <c r="AA16">
        <v>15</v>
      </c>
      <c r="AB16">
        <f t="shared" si="10"/>
        <v>1</v>
      </c>
    </row>
    <row r="17" spans="1:28" x14ac:dyDescent="0.3">
      <c r="A17" s="8" t="s">
        <v>85</v>
      </c>
      <c r="B17" s="9" t="s">
        <v>27</v>
      </c>
      <c r="C17" s="9" t="s">
        <v>42</v>
      </c>
      <c r="D17" s="10">
        <v>45218.319780092592</v>
      </c>
      <c r="E17" s="9" t="s">
        <v>29</v>
      </c>
      <c r="F17" s="9" t="s">
        <v>30</v>
      </c>
      <c r="G17" s="9" t="s">
        <v>86</v>
      </c>
      <c r="H17" s="11" t="s">
        <v>32</v>
      </c>
      <c r="J17">
        <f t="shared" si="0"/>
        <v>10</v>
      </c>
      <c r="K17">
        <f t="shared" si="1"/>
        <v>19</v>
      </c>
      <c r="L17">
        <f t="shared" si="2"/>
        <v>2023</v>
      </c>
      <c r="N17" s="12">
        <f t="shared" si="3"/>
        <v>45218</v>
      </c>
      <c r="R17">
        <f t="shared" ca="1" si="4"/>
        <v>992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v>7</v>
      </c>
      <c r="AA17">
        <v>16</v>
      </c>
      <c r="AB17">
        <f t="shared" si="10"/>
        <v>1</v>
      </c>
    </row>
    <row r="18" spans="1:28" x14ac:dyDescent="0.3">
      <c r="A18" s="8" t="s">
        <v>87</v>
      </c>
      <c r="B18" s="9" t="s">
        <v>41</v>
      </c>
      <c r="C18" s="9" t="s">
        <v>35</v>
      </c>
      <c r="D18" s="10">
        <v>45350.719236111108</v>
      </c>
      <c r="E18" s="9" t="s">
        <v>43</v>
      </c>
      <c r="F18" s="9" t="s">
        <v>44</v>
      </c>
      <c r="G18" s="9" t="s">
        <v>45</v>
      </c>
      <c r="H18" s="11" t="s">
        <v>46</v>
      </c>
      <c r="J18">
        <f t="shared" si="0"/>
        <v>2</v>
      </c>
      <c r="K18">
        <f t="shared" si="1"/>
        <v>28</v>
      </c>
      <c r="L18">
        <f t="shared" si="2"/>
        <v>2024</v>
      </c>
      <c r="N18" s="12">
        <f t="shared" si="3"/>
        <v>45350</v>
      </c>
      <c r="R18">
        <f t="shared" ca="1" si="4"/>
        <v>860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v>17</v>
      </c>
      <c r="AA18">
        <v>17</v>
      </c>
      <c r="AB18">
        <f t="shared" si="10"/>
        <v>7</v>
      </c>
    </row>
    <row r="19" spans="1:28" x14ac:dyDescent="0.3">
      <c r="A19" s="8" t="s">
        <v>88</v>
      </c>
      <c r="B19" s="9" t="s">
        <v>89</v>
      </c>
      <c r="C19" s="9" t="s">
        <v>42</v>
      </c>
      <c r="D19" s="10">
        <v>45418.726354166669</v>
      </c>
      <c r="E19" s="9" t="s">
        <v>90</v>
      </c>
      <c r="F19" s="9" t="s">
        <v>83</v>
      </c>
      <c r="G19" s="9" t="s">
        <v>91</v>
      </c>
      <c r="H19" s="11" t="s">
        <v>92</v>
      </c>
      <c r="J19">
        <f t="shared" si="0"/>
        <v>5</v>
      </c>
      <c r="K19">
        <f t="shared" si="1"/>
        <v>6</v>
      </c>
      <c r="L19">
        <f t="shared" si="2"/>
        <v>2024</v>
      </c>
      <c r="N19" s="12">
        <f t="shared" si="3"/>
        <v>45418</v>
      </c>
      <c r="R19">
        <f t="shared" ca="1" si="4"/>
        <v>792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Z19">
        <v>17</v>
      </c>
      <c r="AA19">
        <v>18</v>
      </c>
      <c r="AB19">
        <f t="shared" si="10"/>
        <v>0</v>
      </c>
    </row>
    <row r="20" spans="1:28" x14ac:dyDescent="0.3">
      <c r="A20" s="8" t="s">
        <v>93</v>
      </c>
      <c r="B20" s="9" t="s">
        <v>41</v>
      </c>
      <c r="C20" s="9" t="s">
        <v>49</v>
      </c>
      <c r="D20" s="10">
        <v>45496.291701388887</v>
      </c>
      <c r="E20" s="9" t="s">
        <v>43</v>
      </c>
      <c r="F20" s="9" t="s">
        <v>44</v>
      </c>
      <c r="G20" s="9" t="s">
        <v>45</v>
      </c>
      <c r="H20" s="11" t="s">
        <v>46</v>
      </c>
      <c r="J20">
        <f t="shared" si="0"/>
        <v>7</v>
      </c>
      <c r="K20">
        <f t="shared" si="1"/>
        <v>23</v>
      </c>
      <c r="L20">
        <f t="shared" si="2"/>
        <v>2024</v>
      </c>
      <c r="N20" s="12">
        <f t="shared" si="3"/>
        <v>45496</v>
      </c>
      <c r="R20">
        <f t="shared" ca="1" si="4"/>
        <v>714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v>7</v>
      </c>
      <c r="AA20">
        <v>19</v>
      </c>
      <c r="AB20">
        <f t="shared" si="10"/>
        <v>0</v>
      </c>
    </row>
    <row r="21" spans="1:28" ht="15" thickBot="1" x14ac:dyDescent="0.35">
      <c r="A21" s="8" t="s">
        <v>94</v>
      </c>
      <c r="B21" s="14" t="s">
        <v>41</v>
      </c>
      <c r="C21" s="14" t="s">
        <v>49</v>
      </c>
      <c r="D21" s="15">
        <v>45422.739884259259</v>
      </c>
      <c r="E21" s="14" t="s">
        <v>43</v>
      </c>
      <c r="F21" s="14" t="s">
        <v>44</v>
      </c>
      <c r="G21" s="14" t="s">
        <v>91</v>
      </c>
      <c r="H21" s="16" t="s">
        <v>46</v>
      </c>
      <c r="J21">
        <f t="shared" si="0"/>
        <v>5</v>
      </c>
      <c r="K21">
        <f t="shared" si="1"/>
        <v>10</v>
      </c>
      <c r="L21">
        <f t="shared" si="2"/>
        <v>2024</v>
      </c>
      <c r="N21" s="12">
        <f t="shared" si="3"/>
        <v>45422</v>
      </c>
      <c r="R21">
        <f t="shared" ca="1" si="4"/>
        <v>788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Z21">
        <v>17</v>
      </c>
      <c r="AA21">
        <v>20</v>
      </c>
      <c r="AB21">
        <f t="shared" si="10"/>
        <v>0</v>
      </c>
    </row>
    <row r="22" spans="1:28" x14ac:dyDescent="0.3">
      <c r="AA22">
        <v>21</v>
      </c>
      <c r="AB22">
        <f t="shared" si="10"/>
        <v>0</v>
      </c>
    </row>
    <row r="23" spans="1:28" x14ac:dyDescent="0.3">
      <c r="AA23">
        <v>22</v>
      </c>
      <c r="AB23">
        <f t="shared" si="10"/>
        <v>0</v>
      </c>
    </row>
    <row r="24" spans="1:28" x14ac:dyDescent="0.3">
      <c r="AA24">
        <v>23</v>
      </c>
      <c r="AB24">
        <f t="shared" si="10"/>
        <v>0</v>
      </c>
    </row>
    <row r="25" spans="1:28" x14ac:dyDescent="0.3">
      <c r="AA25">
        <v>24</v>
      </c>
      <c r="AB25">
        <f t="shared" si="1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Gouse</dc:creator>
  <cp:lastModifiedBy>mohammed Gouse</cp:lastModifiedBy>
  <dcterms:created xsi:type="dcterms:W3CDTF">2026-07-07T07:22:58Z</dcterms:created>
  <dcterms:modified xsi:type="dcterms:W3CDTF">2026-07-07T07:38:45Z</dcterms:modified>
</cp:coreProperties>
</file>