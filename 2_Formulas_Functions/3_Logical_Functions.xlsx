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2_Formulas_Functions/"/>
    </mc:Choice>
  </mc:AlternateContent>
  <xr:revisionPtr revIDLastSave="64" documentId="8_{F149B6F7-FF49-4A96-AFFD-8D9FF3E14A5F}" xr6:coauthVersionLast="47" xr6:coauthVersionMax="47" xr10:uidLastSave="{4C5A1671-FA82-46C5-83F1-9B24B692F44A}"/>
  <bookViews>
    <workbookView xWindow="-108" yWindow="-108" windowWidth="23256" windowHeight="13176" activeTab="1" xr2:uid="{F15A0433-EE71-44AF-AD89-1150CA7AD24B}"/>
  </bookViews>
  <sheets>
    <sheet name="Data_1" sheetId="2" r:id="rId1"/>
    <sheet name="Data_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3" l="1" a="1"/>
  <c r="R2" i="3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" i="3"/>
  <c r="R3" i="3" a="1"/>
  <c r="R3" i="3" s="1"/>
  <c r="R4" i="3" a="1"/>
  <c r="R4" i="3"/>
  <c r="R5" i="3" a="1"/>
  <c r="R5" i="3"/>
  <c r="R6" i="3" a="1"/>
  <c r="R6" i="3"/>
  <c r="R7" i="3" a="1"/>
  <c r="R7" i="3"/>
  <c r="R8" i="3" a="1"/>
  <c r="R8" i="3"/>
  <c r="R9" i="3" a="1"/>
  <c r="R9" i="3"/>
  <c r="R10" i="3" a="1"/>
  <c r="R10" i="3"/>
  <c r="R11" i="3" a="1"/>
  <c r="R11" i="3"/>
  <c r="R12" i="3" a="1"/>
  <c r="R12" i="3"/>
  <c r="R13" i="3" a="1"/>
  <c r="R13" i="3"/>
  <c r="R14" i="3" a="1"/>
  <c r="R14" i="3"/>
  <c r="R15" i="3" a="1"/>
  <c r="R15" i="3" s="1"/>
  <c r="R16" i="3" a="1"/>
  <c r="R16" i="3"/>
  <c r="R17" i="3" a="1"/>
  <c r="R17" i="3"/>
  <c r="R18" i="3" a="1"/>
  <c r="R18" i="3"/>
  <c r="R19" i="3" a="1"/>
  <c r="R19" i="3"/>
  <c r="R20" i="3" a="1"/>
  <c r="R20" i="3"/>
  <c r="R21" i="3" a="1"/>
  <c r="R2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L2" i="3"/>
  <c r="K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Q4" i="2"/>
  <c r="Q5" i="2"/>
  <c r="Q6" i="2"/>
  <c r="Q7" i="2"/>
  <c r="Q8" i="2"/>
  <c r="Q9" i="2"/>
  <c r="Q10" i="2"/>
  <c r="Q11" i="2"/>
  <c r="Q12" i="2"/>
  <c r="Q3" i="2"/>
  <c r="L12" i="2"/>
  <c r="K12" i="2"/>
  <c r="H12" i="2"/>
  <c r="I12" i="2" s="1"/>
  <c r="G12" i="2"/>
  <c r="M12" i="2" s="1"/>
  <c r="F12" i="2"/>
  <c r="L11" i="2"/>
  <c r="K11" i="2"/>
  <c r="H11" i="2"/>
  <c r="I11" i="2" s="1"/>
  <c r="G11" i="2"/>
  <c r="J11" i="2" s="1"/>
  <c r="F11" i="2"/>
  <c r="L10" i="2"/>
  <c r="K10" i="2"/>
  <c r="H10" i="2"/>
  <c r="I10" i="2" s="1"/>
  <c r="G10" i="2"/>
  <c r="J10" i="2" s="1"/>
  <c r="F10" i="2"/>
  <c r="L9" i="2"/>
  <c r="K9" i="2"/>
  <c r="H9" i="2"/>
  <c r="I9" i="2" s="1"/>
  <c r="G9" i="2"/>
  <c r="J9" i="2" s="1"/>
  <c r="F9" i="2"/>
  <c r="M8" i="2"/>
  <c r="O8" i="2" s="1"/>
  <c r="L8" i="2"/>
  <c r="K8" i="2"/>
  <c r="H8" i="2"/>
  <c r="I8" i="2" s="1"/>
  <c r="G8" i="2"/>
  <c r="F8" i="2"/>
  <c r="L7" i="2"/>
  <c r="K7" i="2"/>
  <c r="H7" i="2"/>
  <c r="I7" i="2" s="1"/>
  <c r="G7" i="2"/>
  <c r="J7" i="2" s="1"/>
  <c r="F7" i="2"/>
  <c r="M6" i="2"/>
  <c r="L6" i="2"/>
  <c r="O6" i="2" s="1"/>
  <c r="K6" i="2"/>
  <c r="H6" i="2"/>
  <c r="I6" i="2" s="1"/>
  <c r="G6" i="2"/>
  <c r="J6" i="2" s="1"/>
  <c r="F6" i="2"/>
  <c r="L5" i="2"/>
  <c r="K5" i="2"/>
  <c r="H5" i="2"/>
  <c r="I5" i="2" s="1"/>
  <c r="G5" i="2"/>
  <c r="M5" i="2" s="1"/>
  <c r="F5" i="2"/>
  <c r="M4" i="2"/>
  <c r="L4" i="2"/>
  <c r="P4" i="2" s="1"/>
  <c r="K4" i="2"/>
  <c r="I4" i="2"/>
  <c r="J4" i="2" s="1"/>
  <c r="H4" i="2"/>
  <c r="G4" i="2"/>
  <c r="F4" i="2"/>
  <c r="L3" i="2"/>
  <c r="K3" i="2"/>
  <c r="H3" i="2"/>
  <c r="I3" i="2" s="1"/>
  <c r="G3" i="2"/>
  <c r="M3" i="2" s="1"/>
  <c r="F3" i="2"/>
  <c r="P5" i="2" l="1"/>
  <c r="P3" i="2"/>
  <c r="J8" i="2"/>
  <c r="P12" i="2"/>
  <c r="P8" i="2"/>
  <c r="N4" i="2"/>
  <c r="P6" i="2"/>
  <c r="O4" i="2"/>
  <c r="M11" i="2"/>
  <c r="P11" i="2" s="1"/>
  <c r="N11" i="2"/>
  <c r="M9" i="2"/>
  <c r="P9" i="2" s="1"/>
  <c r="O11" i="2"/>
  <c r="J5" i="2"/>
  <c r="N9" i="2"/>
  <c r="M7" i="2"/>
  <c r="P7" i="2" s="1"/>
  <c r="O9" i="2"/>
  <c r="O7" i="2"/>
  <c r="N5" i="2"/>
  <c r="O5" i="2"/>
  <c r="N3" i="2"/>
  <c r="N12" i="2"/>
  <c r="M10" i="2"/>
  <c r="O12" i="2"/>
  <c r="N8" i="2"/>
  <c r="N6" i="2"/>
  <c r="J3" i="2"/>
  <c r="J12" i="2"/>
  <c r="O3" i="2"/>
  <c r="N7" i="2" l="1"/>
  <c r="P10" i="2"/>
  <c r="O10" i="2"/>
  <c r="N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<sst xmlns="http://schemas.openxmlformats.org/spreadsheetml/2006/main" count="186" uniqueCount="123">
  <si>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</si>
  <si>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</si>
  <si>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</si>
  <si>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</si>
  <si>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</si>
  <si>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</si>
  <si>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</si>
  <si>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</si>
  <si>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</si>
  <si>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</si>
  <si>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</si>
  <si>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</si>
  <si>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</si>
  <si>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</si>
  <si>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</t>
  </si>
  <si>
    <t>Meets Goals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</si>
  <si>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</si>
  <si>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</si>
  <si>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</si>
  <si>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</si>
  <si>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</si>
  <si>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</si>
  <si>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</si>
  <si>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</si>
  <si>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</si>
  <si>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</si>
  <si>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</si>
  <si>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</si>
  <si>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</si>
  <si>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</si>
  <si>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</si>
  <si>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</si>
  <si>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</si>
  <si>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</si>
  <si>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</si>
  <si>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</si>
  <si>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</si>
  <si>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</si>
  <si>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</si>
  <si>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Business Analyst</t>
  </si>
  <si>
    <t>Both Roles</t>
  </si>
  <si>
    <t>=AND()</t>
  </si>
  <si>
    <t>=OR()</t>
  </si>
  <si>
    <t>Buckets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</si>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</sst>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5" xfId="0" applyFont="1" applyBorder="1"/>
    <xf numFmtId="0" fontId="2" fillId="0" borderId="7" xfId="0" applyFont="1" applyBorder="1"/>
    <xf numFmtId="164" fontId="2" fillId="0" borderId="7" xfId="1" applyNumberFormat="1" applyFont="1" applyBorder="1" applyAlignment="1"/>
    <xf numFmtId="0" fontId="2" fillId="0" borderId="7" xfId="1" applyNumberFormat="1" applyFont="1" applyBorder="1" applyAlignment="1"/>
    <xf numFmtId="0" fontId="2" fillId="0" borderId="12" xfId="0" applyFont="1" applyBorder="1"/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4" fillId="0" borderId="0" xfId="0" applyFont="1"/>
    <xf numFmtId="0" fontId="3" fillId="0" borderId="2" xfId="0" applyFont="1" applyBorder="1"/>
    <xf numFmtId="0" fontId="2" fillId="0" borderId="4" xfId="0" applyFont="1" applyBorder="1"/>
    <xf numFmtId="0" fontId="3" fillId="0" borderId="13" xfId="0" applyFont="1" applyBorder="1"/>
    <xf numFmtId="0" fontId="2" fillId="0" borderId="15" xfId="0" applyFont="1" applyBorder="1"/>
    <xf numFmtId="0" fontId="5" fillId="0" borderId="10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0" fillId="0" borderId="10" xfId="0" applyBorder="1"/>
    <xf numFmtId="165" fontId="0" fillId="0" borderId="1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81C8-CB9B-4AB9-B819-AB690349FC7A}">
  <dimension ref="B1:Q16"/>
  <sheetViews>
    <sheetView zoomScale="120" zoomScaleNormal="120" workbookViewId="0">
      <selection activeCell="Q3" sqref="Q3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"/>
    </row>
    <row r="2" spans="2:17" s="10" customFormat="1" ht="27.75" customHeight="1" thickBot="1" x14ac:dyDescent="0.3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9" t="s">
        <v>15</v>
      </c>
    </row>
    <row r="3" spans="2:17" ht="15" thickBot="1" x14ac:dyDescent="0.35">
      <c r="B3" s="11" t="s">
        <v>16</v>
      </c>
      <c r="C3" s="12">
        <v>5</v>
      </c>
      <c r="D3" s="12">
        <v>120000</v>
      </c>
      <c r="E3" s="13">
        <v>10000</v>
      </c>
      <c r="F3" s="14">
        <f>C3</f>
        <v>5</v>
      </c>
      <c r="G3" s="15">
        <f>D3+E3</f>
        <v>130000</v>
      </c>
      <c r="H3" s="16">
        <f>E3/D3</f>
        <v>8.3333333333333329E-2</v>
      </c>
      <c r="I3" s="17">
        <f>D3+D3*H3</f>
        <v>130000</v>
      </c>
      <c r="J3" s="15" t="b">
        <f>G3=I3</f>
        <v>1</v>
      </c>
      <c r="K3" s="15" t="b">
        <f>E3&gt;D3</f>
        <v>0</v>
      </c>
      <c r="L3" s="15" t="b">
        <f t="shared" ref="L3:L12" si="0">$C$15&lt;=C3</f>
        <v>1</v>
      </c>
      <c r="M3" s="15" t="b">
        <f t="shared" ref="M3:M12" si="1">$G3&gt;=$C$16</f>
        <v>1</v>
      </c>
      <c r="N3" s="15">
        <f>L3*M3</f>
        <v>1</v>
      </c>
      <c r="O3" s="15" t="b">
        <f>L3*M3=1</f>
        <v>1</v>
      </c>
      <c r="P3" s="15" t="b">
        <f>AND(L3,M3)</f>
        <v>1</v>
      </c>
      <c r="Q3" s="18" t="str">
        <f>IF(P3,"Goal Met", "Not Met")</f>
        <v>Goal Met</v>
      </c>
    </row>
    <row r="4" spans="2:17" ht="15" thickBot="1" x14ac:dyDescent="0.35">
      <c r="B4" s="11" t="s">
        <v>17</v>
      </c>
      <c r="C4" s="12">
        <v>4</v>
      </c>
      <c r="D4" s="12">
        <v>135000</v>
      </c>
      <c r="E4" s="13">
        <v>12000</v>
      </c>
      <c r="F4" s="14">
        <f t="shared" ref="F4:F12" si="2">C4</f>
        <v>4</v>
      </c>
      <c r="G4" s="15">
        <f t="shared" ref="G4:G12" si="3">D4+E4</f>
        <v>147000</v>
      </c>
      <c r="H4" s="16">
        <f t="shared" ref="H4:H12" si="4">E4/D4</f>
        <v>8.8888888888888892E-2</v>
      </c>
      <c r="I4" s="17">
        <f t="shared" ref="I4:I12" si="5">D4+D4*H4</f>
        <v>147000</v>
      </c>
      <c r="J4" s="15" t="b">
        <f t="shared" ref="J4:J12" si="6">G4=I4</f>
        <v>1</v>
      </c>
      <c r="K4" s="15" t="b">
        <f t="shared" ref="K4:K12" si="7">E4&gt;D4</f>
        <v>0</v>
      </c>
      <c r="L4" s="15" t="b">
        <f t="shared" si="0"/>
        <v>0</v>
      </c>
      <c r="M4" s="15" t="b">
        <f t="shared" si="1"/>
        <v>1</v>
      </c>
      <c r="N4" s="15">
        <f t="shared" ref="N4:N12" si="8">L4*M4</f>
        <v>0</v>
      </c>
      <c r="O4" s="15" t="b">
        <f t="shared" ref="O4:O12" si="9">L4*M4=1</f>
        <v>0</v>
      </c>
      <c r="P4" s="15" t="b">
        <f t="shared" ref="P4:P12" si="10">AND(L4,M4)</f>
        <v>0</v>
      </c>
      <c r="Q4" s="18" t="str">
        <f t="shared" ref="Q4:Q12" si="11">IF(P4,"Goal Met", "Not Met")</f>
        <v>Not Met</v>
      </c>
    </row>
    <row r="5" spans="2:17" ht="15" thickBot="1" x14ac:dyDescent="0.35">
      <c r="B5" s="11" t="s">
        <v>18</v>
      </c>
      <c r="C5" s="12">
        <v>2</v>
      </c>
      <c r="D5" s="12">
        <v>75000</v>
      </c>
      <c r="E5" s="13">
        <v>5000</v>
      </c>
      <c r="F5" s="14">
        <f t="shared" si="2"/>
        <v>2</v>
      </c>
      <c r="G5" s="15">
        <f t="shared" si="3"/>
        <v>80000</v>
      </c>
      <c r="H5" s="16">
        <f t="shared" si="4"/>
        <v>6.6666666666666666E-2</v>
      </c>
      <c r="I5" s="17">
        <f t="shared" si="5"/>
        <v>80000</v>
      </c>
      <c r="J5" s="15" t="b">
        <f t="shared" si="6"/>
        <v>1</v>
      </c>
      <c r="K5" s="15" t="b">
        <f t="shared" si="7"/>
        <v>0</v>
      </c>
      <c r="L5" s="15" t="b">
        <f t="shared" si="0"/>
        <v>0</v>
      </c>
      <c r="M5" s="15" t="b">
        <f t="shared" si="1"/>
        <v>0</v>
      </c>
      <c r="N5" s="15">
        <f t="shared" si="8"/>
        <v>0</v>
      </c>
      <c r="O5" s="15" t="b">
        <f t="shared" si="9"/>
        <v>0</v>
      </c>
      <c r="P5" s="15" t="b">
        <f t="shared" si="10"/>
        <v>0</v>
      </c>
      <c r="Q5" s="18" t="str">
        <f t="shared" si="11"/>
        <v>Not Met</v>
      </c>
    </row>
    <row r="6" spans="2:17" ht="15" thickBot="1" x14ac:dyDescent="0.35">
      <c r="B6" s="11" t="s">
        <v>19</v>
      </c>
      <c r="C6" s="12">
        <v>6</v>
      </c>
      <c r="D6" s="12">
        <v>110000</v>
      </c>
      <c r="E6" s="13">
        <v>8000</v>
      </c>
      <c r="F6" s="14">
        <f t="shared" si="2"/>
        <v>6</v>
      </c>
      <c r="G6" s="15">
        <f t="shared" si="3"/>
        <v>118000</v>
      </c>
      <c r="H6" s="16">
        <f t="shared" si="4"/>
        <v>7.2727272727272724E-2</v>
      </c>
      <c r="I6" s="17">
        <f t="shared" si="5"/>
        <v>118000</v>
      </c>
      <c r="J6" s="15" t="b">
        <f t="shared" si="6"/>
        <v>1</v>
      </c>
      <c r="K6" s="15" t="b">
        <f t="shared" si="7"/>
        <v>0</v>
      </c>
      <c r="L6" s="15" t="b">
        <f t="shared" si="0"/>
        <v>1</v>
      </c>
      <c r="M6" s="15" t="b">
        <f t="shared" si="1"/>
        <v>1</v>
      </c>
      <c r="N6" s="15">
        <f t="shared" si="8"/>
        <v>1</v>
      </c>
      <c r="O6" s="15" t="b">
        <f t="shared" si="9"/>
        <v>1</v>
      </c>
      <c r="P6" s="15" t="b">
        <f t="shared" si="10"/>
        <v>1</v>
      </c>
      <c r="Q6" s="18" t="str">
        <f t="shared" si="11"/>
        <v>Goal Met</v>
      </c>
    </row>
    <row r="7" spans="2:17" ht="15" thickBot="1" x14ac:dyDescent="0.35">
      <c r="B7" s="11" t="s">
        <v>20</v>
      </c>
      <c r="C7" s="12">
        <v>3</v>
      </c>
      <c r="D7" s="12">
        <v>125000</v>
      </c>
      <c r="E7" s="13">
        <v>11000</v>
      </c>
      <c r="F7" s="14">
        <f t="shared" si="2"/>
        <v>3</v>
      </c>
      <c r="G7" s="15">
        <f t="shared" si="3"/>
        <v>136000</v>
      </c>
      <c r="H7" s="16">
        <f t="shared" si="4"/>
        <v>8.7999999999999995E-2</v>
      </c>
      <c r="I7" s="17">
        <f t="shared" si="5"/>
        <v>136000</v>
      </c>
      <c r="J7" s="15" t="b">
        <f t="shared" si="6"/>
        <v>1</v>
      </c>
      <c r="K7" s="15" t="b">
        <f t="shared" si="7"/>
        <v>0</v>
      </c>
      <c r="L7" s="15" t="b">
        <f t="shared" si="0"/>
        <v>0</v>
      </c>
      <c r="M7" s="15" t="b">
        <f t="shared" si="1"/>
        <v>1</v>
      </c>
      <c r="N7" s="15">
        <f t="shared" si="8"/>
        <v>0</v>
      </c>
      <c r="O7" s="15" t="b">
        <f t="shared" si="9"/>
        <v>0</v>
      </c>
      <c r="P7" s="15" t="b">
        <f t="shared" si="10"/>
        <v>0</v>
      </c>
      <c r="Q7" s="18" t="str">
        <f t="shared" si="11"/>
        <v>Not Met</v>
      </c>
    </row>
    <row r="8" spans="2:17" ht="15" thickBot="1" x14ac:dyDescent="0.35">
      <c r="B8" s="11" t="s">
        <v>21</v>
      </c>
      <c r="C8" s="12">
        <v>7</v>
      </c>
      <c r="D8" s="12">
        <v>90000</v>
      </c>
      <c r="E8" s="13">
        <v>7000</v>
      </c>
      <c r="F8" s="14">
        <f t="shared" si="2"/>
        <v>7</v>
      </c>
      <c r="G8" s="15">
        <f t="shared" si="3"/>
        <v>97000</v>
      </c>
      <c r="H8" s="16">
        <f t="shared" si="4"/>
        <v>7.7777777777777779E-2</v>
      </c>
      <c r="I8" s="17">
        <f t="shared" si="5"/>
        <v>97000</v>
      </c>
      <c r="J8" s="15" t="b">
        <f t="shared" si="6"/>
        <v>1</v>
      </c>
      <c r="K8" s="15" t="b">
        <f t="shared" si="7"/>
        <v>0</v>
      </c>
      <c r="L8" s="15" t="b">
        <f t="shared" si="0"/>
        <v>1</v>
      </c>
      <c r="M8" s="15" t="b">
        <f t="shared" si="1"/>
        <v>1</v>
      </c>
      <c r="N8" s="15">
        <f t="shared" si="8"/>
        <v>1</v>
      </c>
      <c r="O8" s="15" t="b">
        <f t="shared" si="9"/>
        <v>1</v>
      </c>
      <c r="P8" s="15" t="b">
        <f t="shared" si="10"/>
        <v>1</v>
      </c>
      <c r="Q8" s="18" t="str">
        <f t="shared" si="11"/>
        <v>Goal Met</v>
      </c>
    </row>
    <row r="9" spans="2:17" ht="15" thickBot="1" x14ac:dyDescent="0.35">
      <c r="B9" s="11" t="s">
        <v>22</v>
      </c>
      <c r="C9" s="12">
        <v>10</v>
      </c>
      <c r="D9" s="12">
        <v>150000</v>
      </c>
      <c r="E9" s="13">
        <v>15000</v>
      </c>
      <c r="F9" s="14">
        <f t="shared" si="2"/>
        <v>10</v>
      </c>
      <c r="G9" s="15">
        <f t="shared" si="3"/>
        <v>165000</v>
      </c>
      <c r="H9" s="16">
        <f t="shared" si="4"/>
        <v>0.1</v>
      </c>
      <c r="I9" s="17">
        <f t="shared" si="5"/>
        <v>165000</v>
      </c>
      <c r="J9" s="15" t="b">
        <f t="shared" si="6"/>
        <v>1</v>
      </c>
      <c r="K9" s="15" t="b">
        <f t="shared" si="7"/>
        <v>0</v>
      </c>
      <c r="L9" s="15" t="b">
        <f t="shared" si="0"/>
        <v>1</v>
      </c>
      <c r="M9" s="15" t="b">
        <f t="shared" si="1"/>
        <v>1</v>
      </c>
      <c r="N9" s="15">
        <f t="shared" si="8"/>
        <v>1</v>
      </c>
      <c r="O9" s="15" t="b">
        <f t="shared" si="9"/>
        <v>1</v>
      </c>
      <c r="P9" s="15" t="b">
        <f t="shared" si="10"/>
        <v>1</v>
      </c>
      <c r="Q9" s="18" t="str">
        <f t="shared" si="11"/>
        <v>Goal Met</v>
      </c>
    </row>
    <row r="10" spans="2:17" ht="15" thickBot="1" x14ac:dyDescent="0.35">
      <c r="B10" s="11" t="s">
        <v>23</v>
      </c>
      <c r="C10" s="12">
        <v>8</v>
      </c>
      <c r="D10" s="12">
        <v>130000</v>
      </c>
      <c r="E10" s="13">
        <v>13000</v>
      </c>
      <c r="F10" s="14">
        <f t="shared" si="2"/>
        <v>8</v>
      </c>
      <c r="G10" s="15">
        <f t="shared" si="3"/>
        <v>143000</v>
      </c>
      <c r="H10" s="16">
        <f t="shared" si="4"/>
        <v>0.1</v>
      </c>
      <c r="I10" s="17">
        <f t="shared" si="5"/>
        <v>143000</v>
      </c>
      <c r="J10" s="15" t="b">
        <f t="shared" si="6"/>
        <v>1</v>
      </c>
      <c r="K10" s="15" t="b">
        <f t="shared" si="7"/>
        <v>0</v>
      </c>
      <c r="L10" s="15" t="b">
        <f t="shared" si="0"/>
        <v>1</v>
      </c>
      <c r="M10" s="15" t="b">
        <f t="shared" si="1"/>
        <v>1</v>
      </c>
      <c r="N10" s="15">
        <f t="shared" si="8"/>
        <v>1</v>
      </c>
      <c r="O10" s="15" t="b">
        <f t="shared" si="9"/>
        <v>1</v>
      </c>
      <c r="P10" s="15" t="b">
        <f t="shared" si="10"/>
        <v>1</v>
      </c>
      <c r="Q10" s="18" t="str">
        <f t="shared" si="11"/>
        <v>Goal Met</v>
      </c>
    </row>
    <row r="11" spans="2:17" ht="15" thickBot="1" x14ac:dyDescent="0.35">
      <c r="B11" s="11" t="s">
        <v>24</v>
      </c>
      <c r="C11" s="12">
        <v>3</v>
      </c>
      <c r="D11" s="12">
        <v>140000</v>
      </c>
      <c r="E11" s="13">
        <v>14000</v>
      </c>
      <c r="F11" s="14">
        <f t="shared" si="2"/>
        <v>3</v>
      </c>
      <c r="G11" s="15">
        <f t="shared" si="3"/>
        <v>154000</v>
      </c>
      <c r="H11" s="16">
        <f t="shared" si="4"/>
        <v>0.1</v>
      </c>
      <c r="I11" s="17">
        <f t="shared" si="5"/>
        <v>154000</v>
      </c>
      <c r="J11" s="15" t="b">
        <f t="shared" si="6"/>
        <v>1</v>
      </c>
      <c r="K11" s="15" t="b">
        <f t="shared" si="7"/>
        <v>0</v>
      </c>
      <c r="L11" s="15" t="b">
        <f t="shared" si="0"/>
        <v>0</v>
      </c>
      <c r="M11" s="15" t="b">
        <f t="shared" si="1"/>
        <v>1</v>
      </c>
      <c r="N11" s="15">
        <f t="shared" si="8"/>
        <v>0</v>
      </c>
      <c r="O11" s="15" t="b">
        <f t="shared" si="9"/>
        <v>0</v>
      </c>
      <c r="P11" s="15" t="b">
        <f t="shared" si="10"/>
        <v>0</v>
      </c>
      <c r="Q11" s="18" t="str">
        <f t="shared" si="11"/>
        <v>Not Met</v>
      </c>
    </row>
    <row r="12" spans="2:17" ht="15" thickBot="1" x14ac:dyDescent="0.35">
      <c r="B12" s="19" t="s">
        <v>25</v>
      </c>
      <c r="C12" s="20">
        <v>5</v>
      </c>
      <c r="D12" s="20">
        <v>115000</v>
      </c>
      <c r="E12" s="21">
        <v>9000</v>
      </c>
      <c r="F12" s="14">
        <f t="shared" si="2"/>
        <v>5</v>
      </c>
      <c r="G12" s="15">
        <f t="shared" si="3"/>
        <v>124000</v>
      </c>
      <c r="H12" s="16">
        <f t="shared" si="4"/>
        <v>7.8260869565217397E-2</v>
      </c>
      <c r="I12" s="17">
        <f t="shared" si="5"/>
        <v>124000</v>
      </c>
      <c r="J12" s="15" t="b">
        <f t="shared" si="6"/>
        <v>1</v>
      </c>
      <c r="K12" s="15" t="b">
        <f t="shared" si="7"/>
        <v>0</v>
      </c>
      <c r="L12" s="15" t="b">
        <f t="shared" si="0"/>
        <v>1</v>
      </c>
      <c r="M12" s="15" t="b">
        <f t="shared" si="1"/>
        <v>1</v>
      </c>
      <c r="N12" s="15">
        <f t="shared" si="8"/>
        <v>1</v>
      </c>
      <c r="O12" s="15" t="b">
        <f t="shared" si="9"/>
        <v>1</v>
      </c>
      <c r="P12" s="15" t="b">
        <f t="shared" si="10"/>
        <v>1</v>
      </c>
      <c r="Q12" s="18" t="str">
        <f t="shared" si="11"/>
        <v>Goal Met</v>
      </c>
    </row>
    <row r="14" spans="2:17" ht="15" thickBot="1" x14ac:dyDescent="0.35">
      <c r="B14" s="22" t="s">
        <v>26</v>
      </c>
    </row>
    <row r="15" spans="2:17" x14ac:dyDescent="0.3">
      <c r="B15" s="23" t="s">
        <v>27</v>
      </c>
      <c r="C15" s="24">
        <v>5</v>
      </c>
    </row>
    <row r="16" spans="2:17" ht="15" thickBot="1" x14ac:dyDescent="0.35">
      <c r="B16" s="25" t="s">
        <v>28</v>
      </c>
      <c r="C16" s="2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1F0A-C905-4178-9CE1-97639D4F76CF}">
  <dimension ref="A1:R21"/>
  <sheetViews>
    <sheetView tabSelected="1" zoomScale="118" zoomScaleNormal="100" workbookViewId="0">
      <selection activeCell="R3" sqref="R3"/>
    </sheetView>
  </sheetViews>
  <sheetFormatPr defaultRowHeight="14.4" x14ac:dyDescent="0.3"/>
  <cols>
    <col min="1" max="1" width="19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4" bestFit="1" customWidth="1"/>
    <col min="9" max="9" width="19" hidden="1" customWidth="1"/>
    <col min="10" max="10" width="68.109375" hidden="1" customWidth="1"/>
    <col min="11" max="11" width="11.88671875" hidden="1" customWidth="1"/>
    <col min="12" max="12" width="15.21875" hidden="1" customWidth="1"/>
    <col min="13" max="13" width="11" hidden="1" customWidth="1"/>
    <col min="14" max="14" width="7.109375" hidden="1" customWidth="1"/>
    <col min="15" max="15" width="5.88671875" hidden="1" customWidth="1"/>
    <col min="16" max="16" width="11.6640625" bestFit="1" customWidth="1"/>
    <col min="17" max="17" width="11.109375" bestFit="1" customWidth="1"/>
    <col min="18" max="18" width="10.21875" bestFit="1" customWidth="1"/>
  </cols>
  <sheetData>
    <row r="1" spans="1:18" x14ac:dyDescent="0.3">
      <c r="A1" s="27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  <c r="G1" s="27" t="s">
        <v>35</v>
      </c>
      <c r="H1" s="27" t="s">
        <v>36</v>
      </c>
      <c r="I1" s="27" t="s">
        <v>37</v>
      </c>
      <c r="J1" s="27" t="s">
        <v>38</v>
      </c>
      <c r="K1" s="28" t="s">
        <v>18</v>
      </c>
      <c r="L1" s="28" t="s">
        <v>39</v>
      </c>
      <c r="M1" s="28" t="s">
        <v>40</v>
      </c>
      <c r="N1" s="28" t="s">
        <v>41</v>
      </c>
      <c r="O1" s="28" t="s">
        <v>42</v>
      </c>
      <c r="P1" s="28" t="s">
        <v>40</v>
      </c>
      <c r="Q1" s="28">
        <v>85000</v>
      </c>
      <c r="R1" s="28" t="s">
        <v>43</v>
      </c>
    </row>
    <row r="2" spans="1:18" x14ac:dyDescent="0.3">
      <c r="A2" s="29" t="s">
        <v>44</v>
      </c>
      <c r="B2" s="30">
        <v>44996.547291666669</v>
      </c>
      <c r="C2" s="29" t="s">
        <v>45</v>
      </c>
      <c r="D2" s="29" t="s">
        <v>46</v>
      </c>
      <c r="E2" s="29" t="s">
        <v>47</v>
      </c>
      <c r="F2" s="29" t="s">
        <v>48</v>
      </c>
      <c r="G2" s="29" t="s">
        <v>49</v>
      </c>
      <c r="H2" s="29">
        <v>135000</v>
      </c>
      <c r="I2" s="29" t="b">
        <v>0</v>
      </c>
      <c r="J2" s="29" t="s">
        <v>50</v>
      </c>
      <c r="K2" t="str">
        <f>IF($A2=K$1,"Desired", "Not Desired")</f>
        <v>Not Desired</v>
      </c>
      <c r="L2" t="str">
        <f>IF($A2=L$1,"Desired", "Not Desired")</f>
        <v>Not Desired</v>
      </c>
      <c r="M2" t="str">
        <f>IF($A2=K$1,"Desired", IF($A2=L$1,"Desired",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IF(OR($A2=$K$1,$A2=$L$1),"Role Desired","Not Desired")</f>
        <v>Not Desired</v>
      </c>
      <c r="Q2" t="str">
        <f>IF($H2&gt;$Q$1, "Salary &gt; 85K", "Salary Low")</f>
        <v>Salary &gt; 85K</v>
      </c>
      <c r="R2" t="str" cm="1">
        <f t="array" ref="R2">_xlfn.IFS($H2="", "No Data", $H2&gt;$Q$1, "Salary&gt;85K", TRUE, "Salary Low" )</f>
        <v>Salary&gt;85K</v>
      </c>
    </row>
    <row r="3" spans="1:18" x14ac:dyDescent="0.3">
      <c r="A3" s="29" t="s">
        <v>18</v>
      </c>
      <c r="B3" s="30">
        <v>45097.915243055562</v>
      </c>
      <c r="C3" s="29" t="s">
        <v>51</v>
      </c>
      <c r="D3" s="29" t="s">
        <v>52</v>
      </c>
      <c r="E3" s="29" t="s">
        <v>53</v>
      </c>
      <c r="F3" s="29" t="s">
        <v>54</v>
      </c>
      <c r="G3" s="29" t="s">
        <v>55</v>
      </c>
      <c r="H3" s="29">
        <v>35000</v>
      </c>
      <c r="I3" s="29" t="b">
        <v>1</v>
      </c>
      <c r="J3" s="29" t="s">
        <v>56</v>
      </c>
      <c r="K3" t="str">
        <f t="shared" ref="K3:L21" si="0">IF($A3=K$1,"Desired", "Not Desired")</f>
        <v>Desired</v>
      </c>
      <c r="L3" t="str">
        <f t="shared" si="0"/>
        <v>Not Desired</v>
      </c>
      <c r="M3" t="str">
        <f t="shared" ref="M3:M21" si="1">IF($A3=K$1,"Desired", IF($A3=L$1,"Desired", "Not Desired"))</f>
        <v>Desired</v>
      </c>
      <c r="N3" t="b">
        <f t="shared" ref="N3:N21" si="2">AND($A3=$K$1, $A3=$L$1)</f>
        <v>0</v>
      </c>
      <c r="O3" t="b">
        <f t="shared" ref="O3:O21" si="3">OR($A3=$K$1, $A3=$L$1)</f>
        <v>1</v>
      </c>
      <c r="P3" t="str">
        <f t="shared" ref="P3:P21" si="4">IF(OR($A3=$K$1,$A3=$L$1),"Role Desired","Not Desired")</f>
        <v>Role Desired</v>
      </c>
      <c r="Q3" t="str">
        <f t="shared" ref="Q3:Q21" si="5">IF($H3&gt;$Q$1, "Salary &gt; 85K", "Salary Low")</f>
        <v>Salary Low</v>
      </c>
      <c r="R3" t="str" cm="1">
        <f t="array" ref="R3">_xlfn.IFS($H3="", "No Data", $H3&gt;$Q$1, "Salary&gt;85K", TRUE, "Salary Low" )</f>
        <v>Salary Low</v>
      </c>
    </row>
    <row r="4" spans="1:18" x14ac:dyDescent="0.3">
      <c r="A4" s="29" t="s">
        <v>18</v>
      </c>
      <c r="B4" s="30">
        <v>45173.250416666669</v>
      </c>
      <c r="C4" s="29" t="s">
        <v>57</v>
      </c>
      <c r="D4" s="29" t="s">
        <v>46</v>
      </c>
      <c r="E4" s="29" t="s">
        <v>58</v>
      </c>
      <c r="F4" s="29" t="s">
        <v>59</v>
      </c>
      <c r="G4" s="29" t="s">
        <v>49</v>
      </c>
      <c r="H4" s="29"/>
      <c r="I4" s="29" t="b">
        <v>0</v>
      </c>
      <c r="J4" s="29" t="s">
        <v>60</v>
      </c>
      <c r="K4" t="str">
        <f t="shared" si="0"/>
        <v>Desired</v>
      </c>
      <c r="L4" t="str">
        <f t="shared" si="0"/>
        <v>Not Desired</v>
      </c>
      <c r="M4" t="str">
        <f t="shared" si="1"/>
        <v>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 "No Data", $H4&gt;$Q$1, "Salary&gt;85K", TRUE, "Salary Low" )</f>
        <v>No Data</v>
      </c>
    </row>
    <row r="5" spans="1:18" x14ac:dyDescent="0.3">
      <c r="A5" s="29" t="s">
        <v>16</v>
      </c>
      <c r="B5" s="30">
        <v>45156.253321759257</v>
      </c>
      <c r="C5" s="29" t="s">
        <v>61</v>
      </c>
      <c r="D5" s="29" t="s">
        <v>46</v>
      </c>
      <c r="E5" s="29" t="s">
        <v>62</v>
      </c>
      <c r="F5" s="29" t="s">
        <v>59</v>
      </c>
      <c r="G5" s="29" t="s">
        <v>49</v>
      </c>
      <c r="H5" s="29"/>
      <c r="I5" s="29" t="b">
        <v>0</v>
      </c>
      <c r="J5" s="29" t="s">
        <v>63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 "No Data", $H5&gt;$Q$1, "Salary&gt;85K", TRUE, "Salary Low" )</f>
        <v>No Data</v>
      </c>
    </row>
    <row r="6" spans="1:18" x14ac:dyDescent="0.3">
      <c r="A6" s="29" t="s">
        <v>64</v>
      </c>
      <c r="B6" s="30">
        <v>45147.802951388891</v>
      </c>
      <c r="C6" s="29" t="s">
        <v>65</v>
      </c>
      <c r="D6" s="29" t="s">
        <v>66</v>
      </c>
      <c r="E6" s="29" t="s">
        <v>67</v>
      </c>
      <c r="F6" s="29" t="s">
        <v>59</v>
      </c>
      <c r="G6" s="29" t="s">
        <v>49</v>
      </c>
      <c r="H6" s="29"/>
      <c r="I6" s="29" t="b">
        <v>0</v>
      </c>
      <c r="J6" s="29" t="s">
        <v>68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 "No Data", $H6&gt;$Q$1, "Salary&gt;85K", TRUE, "Salary Low" )</f>
        <v>No Data</v>
      </c>
    </row>
    <row r="7" spans="1:18" x14ac:dyDescent="0.3">
      <c r="A7" s="29" t="s">
        <v>16</v>
      </c>
      <c r="B7" s="30">
        <v>45202.753101851849</v>
      </c>
      <c r="C7" s="29" t="s">
        <v>69</v>
      </c>
      <c r="D7" s="29" t="s">
        <v>46</v>
      </c>
      <c r="E7" s="29" t="s">
        <v>70</v>
      </c>
      <c r="F7" s="29" t="s">
        <v>59</v>
      </c>
      <c r="G7" s="29" t="s">
        <v>71</v>
      </c>
      <c r="H7" s="29"/>
      <c r="I7" s="29" t="b">
        <v>0</v>
      </c>
      <c r="J7" s="29" t="s">
        <v>72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 "No Data", $H7&gt;$Q$1, "Salary&gt;85K", TRUE, "Salary Low" )</f>
        <v>No Data</v>
      </c>
    </row>
    <row r="8" spans="1:18" x14ac:dyDescent="0.3">
      <c r="A8" s="29" t="s">
        <v>18</v>
      </c>
      <c r="B8" s="30">
        <v>44949.850462962961</v>
      </c>
      <c r="C8" s="29" t="s">
        <v>73</v>
      </c>
      <c r="D8" s="29" t="s">
        <v>46</v>
      </c>
      <c r="E8" s="29" t="s">
        <v>74</v>
      </c>
      <c r="F8" s="29" t="s">
        <v>48</v>
      </c>
      <c r="G8" s="29" t="s">
        <v>49</v>
      </c>
      <c r="H8" s="29"/>
      <c r="I8" s="29" t="b">
        <v>0</v>
      </c>
      <c r="J8" s="29" t="s">
        <v>75</v>
      </c>
      <c r="K8" t="str">
        <f t="shared" si="0"/>
        <v>Desired</v>
      </c>
      <c r="L8" t="str">
        <f t="shared" si="0"/>
        <v>Not Desired</v>
      </c>
      <c r="M8" t="str">
        <f t="shared" si="1"/>
        <v>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 "No Data", $H8&gt;$Q$1, "Salary&gt;85K", TRUE, "Salary Low" )</f>
        <v>No Data</v>
      </c>
    </row>
    <row r="9" spans="1:18" x14ac:dyDescent="0.3">
      <c r="A9" s="29" t="s">
        <v>18</v>
      </c>
      <c r="B9" s="30">
        <v>45001.627175925933</v>
      </c>
      <c r="C9" s="29" t="s">
        <v>76</v>
      </c>
      <c r="D9" s="29" t="s">
        <v>46</v>
      </c>
      <c r="E9" s="29" t="s">
        <v>77</v>
      </c>
      <c r="F9" s="29" t="s">
        <v>78</v>
      </c>
      <c r="G9" s="29" t="s">
        <v>49</v>
      </c>
      <c r="H9" s="29">
        <v>115000</v>
      </c>
      <c r="I9" s="29" t="b">
        <v>0</v>
      </c>
      <c r="J9" s="29" t="s">
        <v>79</v>
      </c>
      <c r="K9" t="str">
        <f t="shared" si="0"/>
        <v>Desired</v>
      </c>
      <c r="L9" t="str">
        <f t="shared" si="0"/>
        <v>Not Desired</v>
      </c>
      <c r="M9" t="str">
        <f t="shared" si="1"/>
        <v>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&gt; 85K</v>
      </c>
      <c r="R9" t="str" cm="1">
        <f t="array" ref="R9">_xlfn.IFS($H9="", "No Data", $H9&gt;$Q$1, "Salary&gt;85K", TRUE, "Salary Low" )</f>
        <v>Salary&gt;85K</v>
      </c>
    </row>
    <row r="10" spans="1:18" x14ac:dyDescent="0.3">
      <c r="A10" s="29" t="s">
        <v>18</v>
      </c>
      <c r="B10" s="30">
        <v>45041.375868055547</v>
      </c>
      <c r="C10" s="29" t="s">
        <v>80</v>
      </c>
      <c r="D10" s="29" t="s">
        <v>46</v>
      </c>
      <c r="E10" s="29" t="s">
        <v>81</v>
      </c>
      <c r="F10" s="29" t="s">
        <v>48</v>
      </c>
      <c r="G10" s="29" t="s">
        <v>55</v>
      </c>
      <c r="H10" s="29"/>
      <c r="I10" s="29" t="b">
        <v>0</v>
      </c>
      <c r="J10" s="29" t="s">
        <v>82</v>
      </c>
      <c r="K10" t="str">
        <f t="shared" si="0"/>
        <v>Desired</v>
      </c>
      <c r="L10" t="str">
        <f t="shared" si="0"/>
        <v>Not Desired</v>
      </c>
      <c r="M10" t="str">
        <f t="shared" si="1"/>
        <v>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 "No Data", $H10&gt;$Q$1, "Salary&gt;85K", TRUE, "Salary Low" )</f>
        <v>No Data</v>
      </c>
    </row>
    <row r="11" spans="1:18" x14ac:dyDescent="0.3">
      <c r="A11" s="29" t="s">
        <v>18</v>
      </c>
      <c r="B11" s="30">
        <v>45106.587094907409</v>
      </c>
      <c r="C11" s="29" t="s">
        <v>83</v>
      </c>
      <c r="D11" s="29" t="s">
        <v>46</v>
      </c>
      <c r="E11" s="29" t="s">
        <v>84</v>
      </c>
      <c r="F11" s="29" t="s">
        <v>85</v>
      </c>
      <c r="G11" s="29" t="s">
        <v>49</v>
      </c>
      <c r="H11" s="29">
        <v>105000</v>
      </c>
      <c r="I11" s="29" t="b">
        <v>0</v>
      </c>
      <c r="J11" s="29" t="s">
        <v>86</v>
      </c>
      <c r="K11" t="str">
        <f t="shared" si="0"/>
        <v>Desired</v>
      </c>
      <c r="L11" t="str">
        <f t="shared" si="0"/>
        <v>Not Desired</v>
      </c>
      <c r="M11" t="str">
        <f t="shared" si="1"/>
        <v>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&gt; 85K</v>
      </c>
      <c r="R11" t="str" cm="1">
        <f t="array" ref="R11">_xlfn.IFS($H11="", "No Data", $H11&gt;$Q$1, "Salary&gt;85K", TRUE, "Salary Low" )</f>
        <v>Salary&gt;85K</v>
      </c>
    </row>
    <row r="12" spans="1:18" x14ac:dyDescent="0.3">
      <c r="A12" s="29" t="s">
        <v>16</v>
      </c>
      <c r="B12" s="30">
        <v>45029.919687499998</v>
      </c>
      <c r="C12" s="29" t="s">
        <v>87</v>
      </c>
      <c r="D12" s="29" t="s">
        <v>46</v>
      </c>
      <c r="E12" s="29" t="s">
        <v>88</v>
      </c>
      <c r="F12" s="29" t="s">
        <v>78</v>
      </c>
      <c r="G12" s="29" t="s">
        <v>49</v>
      </c>
      <c r="H12" s="29">
        <v>195000</v>
      </c>
      <c r="I12" s="29" t="b">
        <v>0</v>
      </c>
      <c r="J12" s="29" t="s">
        <v>89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&gt; 85K</v>
      </c>
      <c r="R12" t="str" cm="1">
        <f t="array" ref="R12">_xlfn.IFS($H12="", "No Data", $H12&gt;$Q$1, "Salary&gt;85K", TRUE, "Salary Low" )</f>
        <v>Salary&gt;85K</v>
      </c>
    </row>
    <row r="13" spans="1:18" x14ac:dyDescent="0.3">
      <c r="A13" s="29" t="s">
        <v>90</v>
      </c>
      <c r="B13" s="30">
        <v>45091.502789351849</v>
      </c>
      <c r="C13" s="29" t="s">
        <v>91</v>
      </c>
      <c r="D13" s="29" t="s">
        <v>46</v>
      </c>
      <c r="E13" s="29" t="s">
        <v>92</v>
      </c>
      <c r="F13" s="29" t="s">
        <v>78</v>
      </c>
      <c r="G13" s="29" t="s">
        <v>49</v>
      </c>
      <c r="H13" s="29">
        <v>165000</v>
      </c>
      <c r="I13" s="29" t="b">
        <v>0</v>
      </c>
      <c r="J13" s="29" t="s">
        <v>93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&gt; 85K</v>
      </c>
      <c r="R13" t="str" cm="1">
        <f t="array" ref="R13">_xlfn.IFS($H13="", "No Data", $H13&gt;$Q$1, "Salary&gt;85K", TRUE, "Salary Low" )</f>
        <v>Salary&gt;85K</v>
      </c>
    </row>
    <row r="14" spans="1:18" x14ac:dyDescent="0.3">
      <c r="A14" s="29" t="s">
        <v>16</v>
      </c>
      <c r="B14" s="30">
        <v>45175.543124999997</v>
      </c>
      <c r="C14" s="29" t="s">
        <v>94</v>
      </c>
      <c r="D14" s="29" t="s">
        <v>46</v>
      </c>
      <c r="E14" s="29" t="s">
        <v>95</v>
      </c>
      <c r="F14" s="29" t="s">
        <v>96</v>
      </c>
      <c r="G14" s="29" t="s">
        <v>49</v>
      </c>
      <c r="H14" s="29">
        <v>281450.5</v>
      </c>
      <c r="I14" s="29" t="b">
        <v>0</v>
      </c>
      <c r="J14" s="29" t="s">
        <v>97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&gt; 85K</v>
      </c>
      <c r="R14" t="str" cm="1">
        <f t="array" ref="R14">_xlfn.IFS($H14="", "No Data", $H14&gt;$Q$1, "Salary&gt;85K", TRUE, "Salary Low" )</f>
        <v>Salary&gt;85K</v>
      </c>
    </row>
    <row r="15" spans="1:18" x14ac:dyDescent="0.3">
      <c r="A15" s="29" t="s">
        <v>16</v>
      </c>
      <c r="B15" s="30">
        <v>45117.778391203698</v>
      </c>
      <c r="C15" s="29" t="s">
        <v>98</v>
      </c>
      <c r="D15" s="29" t="s">
        <v>99</v>
      </c>
      <c r="E15" s="29" t="s">
        <v>100</v>
      </c>
      <c r="F15" s="29" t="s">
        <v>101</v>
      </c>
      <c r="G15" s="29" t="s">
        <v>49</v>
      </c>
      <c r="H15" s="29">
        <v>70000</v>
      </c>
      <c r="I15" s="29" t="b">
        <v>0</v>
      </c>
      <c r="J15" s="29" t="s">
        <v>102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 "No Data", $H15&gt;$Q$1, "Salary&gt;85K", TRUE, "Salary Low" )</f>
        <v>Salary Low</v>
      </c>
    </row>
    <row r="16" spans="1:18" x14ac:dyDescent="0.3">
      <c r="A16" s="29" t="s">
        <v>20</v>
      </c>
      <c r="B16" s="30">
        <v>44938.614351851851</v>
      </c>
      <c r="C16" s="29" t="s">
        <v>103</v>
      </c>
      <c r="D16" s="29" t="s">
        <v>104</v>
      </c>
      <c r="E16" s="29" t="s">
        <v>105</v>
      </c>
      <c r="F16" s="29" t="s">
        <v>101</v>
      </c>
      <c r="G16" s="29" t="s">
        <v>49</v>
      </c>
      <c r="H16" s="29">
        <v>98301.5</v>
      </c>
      <c r="I16" s="29" t="b">
        <v>0</v>
      </c>
      <c r="J16" s="29" t="s">
        <v>106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&gt; 85K</v>
      </c>
      <c r="R16" t="str" cm="1">
        <f t="array" ref="R16">_xlfn.IFS($H16="", "No Data", $H16&gt;$Q$1, "Salary&gt;85K", TRUE, "Salary Low" )</f>
        <v>Salary&gt;85K</v>
      </c>
    </row>
    <row r="17" spans="1:18" x14ac:dyDescent="0.3">
      <c r="A17" s="29" t="s">
        <v>20</v>
      </c>
      <c r="B17" s="30">
        <v>44985.354097222233</v>
      </c>
      <c r="C17" s="29" t="s">
        <v>107</v>
      </c>
      <c r="D17" s="29" t="s">
        <v>108</v>
      </c>
      <c r="E17" s="29" t="s">
        <v>109</v>
      </c>
      <c r="F17" s="29" t="s">
        <v>101</v>
      </c>
      <c r="G17" s="29" t="s">
        <v>49</v>
      </c>
      <c r="H17" s="29">
        <v>89100</v>
      </c>
      <c r="I17" s="29" t="b">
        <v>0</v>
      </c>
      <c r="J17" s="29" t="s">
        <v>110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&gt; 85K</v>
      </c>
      <c r="R17" t="str" cm="1">
        <f t="array" ref="R17">_xlfn.IFS($H17="", "No Data", $H17&gt;$Q$1, "Salary&gt;85K", TRUE, "Salary Low" )</f>
        <v>Salary&gt;85K</v>
      </c>
    </row>
    <row r="18" spans="1:18" x14ac:dyDescent="0.3">
      <c r="A18" s="29" t="s">
        <v>39</v>
      </c>
      <c r="B18" s="30">
        <v>45063.792291666658</v>
      </c>
      <c r="C18" s="29" t="s">
        <v>111</v>
      </c>
      <c r="D18" s="29" t="s">
        <v>46</v>
      </c>
      <c r="E18" s="29" t="s">
        <v>112</v>
      </c>
      <c r="F18" s="29" t="s">
        <v>78</v>
      </c>
      <c r="G18" s="29" t="s">
        <v>55</v>
      </c>
      <c r="H18" s="29"/>
      <c r="I18" s="29" t="b">
        <v>0</v>
      </c>
      <c r="J18" s="29" t="s">
        <v>113</v>
      </c>
      <c r="K18" t="str">
        <f t="shared" si="0"/>
        <v>Not Desired</v>
      </c>
      <c r="L18" t="str">
        <f t="shared" si="0"/>
        <v>Desired</v>
      </c>
      <c r="M18" t="str">
        <f t="shared" si="1"/>
        <v>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 "No Data", $H18&gt;$Q$1, "Salary&gt;85K", TRUE, "Salary Low" )</f>
        <v>No Data</v>
      </c>
    </row>
    <row r="19" spans="1:18" x14ac:dyDescent="0.3">
      <c r="A19" s="29" t="s">
        <v>16</v>
      </c>
      <c r="B19" s="30">
        <v>45017.004837962973</v>
      </c>
      <c r="C19" s="29" t="s">
        <v>114</v>
      </c>
      <c r="D19" s="29" t="s">
        <v>66</v>
      </c>
      <c r="E19" s="29" t="s">
        <v>115</v>
      </c>
      <c r="F19" s="29" t="s">
        <v>78</v>
      </c>
      <c r="G19" s="29" t="s">
        <v>49</v>
      </c>
      <c r="H19" s="29">
        <v>87500</v>
      </c>
      <c r="I19" s="29" t="b">
        <v>0</v>
      </c>
      <c r="J19" s="29" t="s">
        <v>116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&gt; 85K</v>
      </c>
      <c r="R19" t="str" cm="1">
        <f t="array" ref="R19">_xlfn.IFS($H19="", "No Data", $H19&gt;$Q$1, "Salary&gt;85K", TRUE, "Salary Low" )</f>
        <v>Salary&gt;85K</v>
      </c>
    </row>
    <row r="20" spans="1:18" x14ac:dyDescent="0.3">
      <c r="A20" s="29" t="s">
        <v>16</v>
      </c>
      <c r="B20" s="30">
        <v>45169.64203703704</v>
      </c>
      <c r="C20" s="29" t="s">
        <v>51</v>
      </c>
      <c r="D20" s="29" t="s">
        <v>66</v>
      </c>
      <c r="E20" s="29" t="s">
        <v>117</v>
      </c>
      <c r="F20" s="29" t="s">
        <v>85</v>
      </c>
      <c r="G20" s="29" t="s">
        <v>55</v>
      </c>
      <c r="H20" s="29"/>
      <c r="I20" s="29" t="b">
        <v>1</v>
      </c>
      <c r="J20" s="29" t="s">
        <v>118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 "No Data", $H20&gt;$Q$1, "Salary&gt;85K", TRUE, "Salary Low" )</f>
        <v>No Data</v>
      </c>
    </row>
    <row r="21" spans="1:18" x14ac:dyDescent="0.3">
      <c r="A21" s="29" t="s">
        <v>39</v>
      </c>
      <c r="B21" s="30">
        <v>45000.542685185188</v>
      </c>
      <c r="C21" s="29" t="s">
        <v>119</v>
      </c>
      <c r="D21" s="29" t="s">
        <v>46</v>
      </c>
      <c r="E21" s="29" t="s">
        <v>120</v>
      </c>
      <c r="F21" s="29" t="s">
        <v>121</v>
      </c>
      <c r="G21" s="29" t="s">
        <v>49</v>
      </c>
      <c r="H21" s="29">
        <v>90000</v>
      </c>
      <c r="I21" s="29" t="b">
        <v>0</v>
      </c>
      <c r="J21" s="29" t="s">
        <v>122</v>
      </c>
      <c r="K21" t="str">
        <f t="shared" si="0"/>
        <v>Not Desired</v>
      </c>
      <c r="L21" t="str">
        <f t="shared" si="0"/>
        <v>Desired</v>
      </c>
      <c r="M21" t="str">
        <f t="shared" si="1"/>
        <v>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&gt; 85K</v>
      </c>
      <c r="R21" t="str" cm="1">
        <f t="array" ref="R21">_xlfn.IFS($H21="", "No Data", $H21&gt;$Q$1, "Salary&gt;85K", TRUE, "Salary Low" )</f>
        <v>Salary&gt;85K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</vt:lpstr>
      <vt:lpstr>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2026-07-01T06:05:39Z</dcterms:created>
  <dcterms:modified xsi:type="dcterms:W3CDTF">2026-07-02T07:32:55Z</dcterms:modified>
</cp:coreProperties>
</file>